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llenchen/Desktop/ISS/ISS/05 Sales/02 PriceBook/"/>
    </mc:Choice>
  </mc:AlternateContent>
  <xr:revisionPtr revIDLastSave="0" documentId="13_ncr:1_{50B0229C-51A2-BB44-A4AA-5AFE5FB6D810}" xr6:coauthVersionLast="47" xr6:coauthVersionMax="47" xr10:uidLastSave="{00000000-0000-0000-0000-000000000000}"/>
  <bookViews>
    <workbookView xWindow="28960" yWindow="340" windowWidth="36760" windowHeight="21260" tabRatio="857" xr2:uid="{00000000-000D-0000-FFFF-FFFF00000000}"/>
  </bookViews>
  <sheets>
    <sheet name="AI-Stack Commercial Perpetual" sheetId="18" r:id="rId1"/>
    <sheet name="AI-Stack Commercial Subscriptio" sheetId="17" r:id="rId2"/>
    <sheet name="DGX-1" sheetId="3" state="hidden" r:id="rId3"/>
    <sheet name="AI-Stack Commercial Service" sheetId="20" r:id="rId4"/>
    <sheet name="AI-Stack Education Perpetual" sheetId="15" r:id="rId5"/>
    <sheet name="AI-Stack Education Subscription" sheetId="19" r:id="rId6"/>
    <sheet name="AI-Stack Education Service" sheetId="21" r:id="rId7"/>
    <sheet name="CloudFusion Commercial" sheetId="4" r:id="rId8"/>
    <sheet name="CloudFusion Commercial Service" sheetId="23" r:id="rId9"/>
    <sheet name="CloudFusion Education" sheetId="12" r:id="rId10"/>
    <sheet name="CloudFusion Education Service" sheetId="22" r:id="rId11"/>
    <sheet name="Terms &amp; Conditions" sheetId="6" r:id="rId12"/>
    <sheet name="AI-Stack版本功能表" sheetId="8" r:id="rId13"/>
    <sheet name="CloudFusion版本功能表" sheetId="9" r:id="rId14"/>
    <sheet name="AI-Stack GPU Tier對應表" sheetId="10" r:id="rId15"/>
    <sheet name="產品保固及過保說明" sheetId="14" r:id="rId16"/>
    <sheet name="報價範例說明" sheetId="13" r:id="rId17"/>
    <sheet name="SUMS各年限價值對照表" sheetId="16" r:id="rId18"/>
  </sheets>
  <definedNames>
    <definedName name="Currency" localSheetId="0">#REF!</definedName>
    <definedName name="Currency" localSheetId="3">#REF!</definedName>
    <definedName name="Currency" localSheetId="1">#REF!</definedName>
    <definedName name="Currency" localSheetId="4">#REF!</definedName>
    <definedName name="Currency" localSheetId="6">#REF!</definedName>
    <definedName name="Currency" localSheetId="5">#REF!</definedName>
    <definedName name="Currency" localSheetId="7">#REF!</definedName>
    <definedName name="Currency" localSheetId="8">#REF!</definedName>
    <definedName name="Currency" localSheetId="9">#REF!</definedName>
    <definedName name="Currency" localSheetId="10">#REF!</definedName>
    <definedName name="Currency" localSheetId="11">#REF!</definedName>
    <definedName name="Currency">#REF!</definedName>
    <definedName name="Exchange_Rate" localSheetId="0">#REF!</definedName>
    <definedName name="Exchange_Rate" localSheetId="3">#REF!</definedName>
    <definedName name="Exchange_Rate" localSheetId="1">#REF!</definedName>
    <definedName name="Exchange_Rate" localSheetId="4">#REF!</definedName>
    <definedName name="Exchange_Rate" localSheetId="6">#REF!</definedName>
    <definedName name="Exchange_Rate" localSheetId="5">#REF!</definedName>
    <definedName name="Exchange_Rate" localSheetId="7">#REF!</definedName>
    <definedName name="Exchange_Rate" localSheetId="8">#REF!</definedName>
    <definedName name="Exchange_Rate" localSheetId="9">#REF!</definedName>
    <definedName name="Exchange_Rate" localSheetId="10">#REF!</definedName>
    <definedName name="Exchange_Rate" localSheetId="11">#REF!</definedName>
    <definedName name="Exchange_Rate">#REF!</definedName>
    <definedName name="ExchangeRate" localSheetId="0">#REF!</definedName>
    <definedName name="ExchangeRate" localSheetId="3">#REF!</definedName>
    <definedName name="ExchangeRate" localSheetId="1">#REF!</definedName>
    <definedName name="ExchangeRate" localSheetId="4">#REF!</definedName>
    <definedName name="ExchangeRate" localSheetId="6">#REF!</definedName>
    <definedName name="ExchangeRate" localSheetId="5">#REF!</definedName>
    <definedName name="ExchangeRate" localSheetId="7">#REF!</definedName>
    <definedName name="ExchangeRate" localSheetId="8">#REF!</definedName>
    <definedName name="ExchangeRate" localSheetId="9">#REF!</definedName>
    <definedName name="ExchangeRate" localSheetId="10">#REF!</definedName>
    <definedName name="ExchangeRate" localSheetId="11">#REF!</definedName>
    <definedName name="ExchangeRate">#REF!</definedName>
    <definedName name="IBM" localSheetId="0">#REF!</definedName>
    <definedName name="IBM" localSheetId="3">#REF!</definedName>
    <definedName name="IBM" localSheetId="1">#REF!</definedName>
    <definedName name="IBM" localSheetId="4">#REF!</definedName>
    <definedName name="IBM" localSheetId="6">#REF!</definedName>
    <definedName name="IBM" localSheetId="5">#REF!</definedName>
    <definedName name="IBM" localSheetId="7">#REF!</definedName>
    <definedName name="IBM" localSheetId="8">#REF!</definedName>
    <definedName name="IBM" localSheetId="9">#REF!</definedName>
    <definedName name="IBM" localSheetId="10">#REF!</definedName>
    <definedName name="IBM" localSheetId="11">#REF!</definedName>
    <definedName name="IBM">#REF!</definedName>
    <definedName name="Macro13" localSheetId="0">#REF!</definedName>
    <definedName name="Macro13" localSheetId="3">#REF!</definedName>
    <definedName name="Macro13" localSheetId="1">#REF!</definedName>
    <definedName name="Macro13" localSheetId="4">#REF!</definedName>
    <definedName name="Macro13" localSheetId="6">#REF!</definedName>
    <definedName name="Macro13" localSheetId="5">#REF!</definedName>
    <definedName name="Macro13" localSheetId="7">#REF!</definedName>
    <definedName name="Macro13" localSheetId="8">#REF!</definedName>
    <definedName name="Macro13" localSheetId="9">#REF!</definedName>
    <definedName name="Macro13" localSheetId="10">#REF!</definedName>
    <definedName name="Macro13" localSheetId="11">#REF!</definedName>
    <definedName name="Macro13">#REF!</definedName>
    <definedName name="Macro14" localSheetId="0">#REF!</definedName>
    <definedName name="Macro14" localSheetId="3">#REF!</definedName>
    <definedName name="Macro14" localSheetId="1">#REF!</definedName>
    <definedName name="Macro14" localSheetId="4">#REF!</definedName>
    <definedName name="Macro14" localSheetId="6">#REF!</definedName>
    <definedName name="Macro14" localSheetId="5">#REF!</definedName>
    <definedName name="Macro14" localSheetId="7">#REF!</definedName>
    <definedName name="Macro14" localSheetId="8">#REF!</definedName>
    <definedName name="Macro14" localSheetId="9">#REF!</definedName>
    <definedName name="Macro14" localSheetId="10">#REF!</definedName>
    <definedName name="Macro14" localSheetId="11">#REF!</definedName>
    <definedName name="Macro14">#REF!</definedName>
    <definedName name="Macro15" localSheetId="0">#REF!</definedName>
    <definedName name="Macro15" localSheetId="3">#REF!</definedName>
    <definedName name="Macro15" localSheetId="1">#REF!</definedName>
    <definedName name="Macro15" localSheetId="4">#REF!</definedName>
    <definedName name="Macro15" localSheetId="6">#REF!</definedName>
    <definedName name="Macro15" localSheetId="5">#REF!</definedName>
    <definedName name="Macro15" localSheetId="7">#REF!</definedName>
    <definedName name="Macro15" localSheetId="8">#REF!</definedName>
    <definedName name="Macro15" localSheetId="9">#REF!</definedName>
    <definedName name="Macro15" localSheetId="10">#REF!</definedName>
    <definedName name="Macro15" localSheetId="11">#REF!</definedName>
    <definedName name="Macro15">#REF!</definedName>
    <definedName name="Macro16" localSheetId="0">#REF!</definedName>
    <definedName name="Macro16" localSheetId="3">#REF!</definedName>
    <definedName name="Macro16" localSheetId="1">#REF!</definedName>
    <definedName name="Macro16" localSheetId="4">#REF!</definedName>
    <definedName name="Macro16" localSheetId="6">#REF!</definedName>
    <definedName name="Macro16" localSheetId="5">#REF!</definedName>
    <definedName name="Macro16" localSheetId="7">#REF!</definedName>
    <definedName name="Macro16" localSheetId="8">#REF!</definedName>
    <definedName name="Macro16" localSheetId="9">#REF!</definedName>
    <definedName name="Macro16" localSheetId="10">#REF!</definedName>
    <definedName name="Macro16" localSheetId="11">#REF!</definedName>
    <definedName name="Macro16">#REF!</definedName>
    <definedName name="Macro17" localSheetId="0">#REF!</definedName>
    <definedName name="Macro17" localSheetId="3">#REF!</definedName>
    <definedName name="Macro17" localSheetId="1">#REF!</definedName>
    <definedName name="Macro17" localSheetId="4">#REF!</definedName>
    <definedName name="Macro17" localSheetId="6">#REF!</definedName>
    <definedName name="Macro17" localSheetId="5">#REF!</definedName>
    <definedName name="Macro17" localSheetId="7">#REF!</definedName>
    <definedName name="Macro17" localSheetId="8">#REF!</definedName>
    <definedName name="Macro17" localSheetId="9">#REF!</definedName>
    <definedName name="Macro17" localSheetId="10">#REF!</definedName>
    <definedName name="Macro17" localSheetId="11">#REF!</definedName>
    <definedName name="Macro17">#REF!</definedName>
    <definedName name="MOQ" localSheetId="0">#REF!</definedName>
    <definedName name="MOQ" localSheetId="3">#REF!</definedName>
    <definedName name="MOQ" localSheetId="1">#REF!</definedName>
    <definedName name="MOQ" localSheetId="4">#REF!</definedName>
    <definedName name="MOQ" localSheetId="6">#REF!</definedName>
    <definedName name="MOQ" localSheetId="5">#REF!</definedName>
    <definedName name="MOQ" localSheetId="7">#REF!</definedName>
    <definedName name="MOQ" localSheetId="8">#REF!</definedName>
    <definedName name="MOQ" localSheetId="9">#REF!</definedName>
    <definedName name="MOQ" localSheetId="10">#REF!</definedName>
    <definedName name="MOQ" localSheetId="11">#REF!</definedName>
    <definedName name="MOQ">#REF!</definedName>
    <definedName name="TEST" localSheetId="0">#REF!</definedName>
    <definedName name="TEST" localSheetId="3">#REF!</definedName>
    <definedName name="TEST" localSheetId="1">#REF!</definedName>
    <definedName name="TEST" localSheetId="4">#REF!</definedName>
    <definedName name="TEST" localSheetId="6">#REF!</definedName>
    <definedName name="TEST" localSheetId="5">#REF!</definedName>
    <definedName name="TEST" localSheetId="7">#REF!</definedName>
    <definedName name="TEST" localSheetId="8">#REF!</definedName>
    <definedName name="TEST" localSheetId="9">#REF!</definedName>
    <definedName name="TEST" localSheetId="10">#REF!</definedName>
    <definedName name="TEST" localSheetId="11">#REF!</definedName>
    <definedName name="TEST">#REF!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2" l="1"/>
  <c r="G8" i="22"/>
  <c r="I8" i="22" s="1"/>
  <c r="G7" i="22"/>
  <c r="G6" i="22"/>
  <c r="F9" i="22"/>
  <c r="F8" i="22"/>
  <c r="F7" i="22"/>
  <c r="F6" i="22"/>
  <c r="I7" i="23"/>
  <c r="H7" i="23"/>
  <c r="I6" i="23"/>
  <c r="H6" i="23"/>
  <c r="I5" i="23"/>
  <c r="H5" i="23"/>
  <c r="I4" i="23"/>
  <c r="H4" i="23"/>
  <c r="I9" i="22"/>
  <c r="H9" i="22"/>
  <c r="H8" i="22"/>
  <c r="I7" i="22"/>
  <c r="H7" i="22"/>
  <c r="I6" i="22"/>
  <c r="H6" i="22"/>
  <c r="F6" i="21"/>
  <c r="G6" i="21"/>
  <c r="H6" i="21"/>
  <c r="I6" i="21"/>
  <c r="F7" i="21"/>
  <c r="G7" i="21"/>
  <c r="H7" i="21"/>
  <c r="I7" i="21"/>
  <c r="F8" i="21"/>
  <c r="G8" i="21"/>
  <c r="H8" i="21"/>
  <c r="I8" i="21"/>
  <c r="F9" i="21"/>
  <c r="G9" i="21"/>
  <c r="I9" i="21" s="1"/>
  <c r="H9" i="21"/>
  <c r="H4" i="20"/>
  <c r="I4" i="20"/>
  <c r="H5" i="20"/>
  <c r="I5" i="20"/>
  <c r="H6" i="20"/>
  <c r="I6" i="20"/>
  <c r="H7" i="20"/>
  <c r="I7" i="20"/>
  <c r="H35" i="19"/>
  <c r="G35" i="19"/>
  <c r="H6" i="19"/>
  <c r="G6" i="19"/>
  <c r="G24" i="19" s="1"/>
  <c r="G36" i="19"/>
  <c r="I36" i="19" s="1"/>
  <c r="I35" i="19"/>
  <c r="J35" i="19"/>
  <c r="G49" i="19"/>
  <c r="H41" i="15"/>
  <c r="H47" i="15" s="1"/>
  <c r="H48" i="15" s="1"/>
  <c r="J48" i="15" s="1"/>
  <c r="G41" i="15"/>
  <c r="G45" i="15" s="1"/>
  <c r="I45" i="15" s="1"/>
  <c r="H6" i="15"/>
  <c r="J6" i="15" s="1"/>
  <c r="G6" i="15"/>
  <c r="G10" i="15" s="1"/>
  <c r="I10" i="15" s="1"/>
  <c r="I39" i="17"/>
  <c r="J39" i="17"/>
  <c r="G40" i="17"/>
  <c r="I40" i="17" s="1"/>
  <c r="H40" i="17"/>
  <c r="H42" i="17" s="1"/>
  <c r="H43" i="17" s="1"/>
  <c r="J43" i="17" s="1"/>
  <c r="I46" i="17"/>
  <c r="J46" i="17"/>
  <c r="G47" i="17"/>
  <c r="I47" i="17" s="1"/>
  <c r="H47" i="17"/>
  <c r="J47" i="17" s="1"/>
  <c r="J59" i="18"/>
  <c r="J57" i="18"/>
  <c r="J56" i="18"/>
  <c r="J47" i="18"/>
  <c r="J46" i="18"/>
  <c r="J45" i="18"/>
  <c r="J44" i="18"/>
  <c r="J43" i="18"/>
  <c r="J41" i="18"/>
  <c r="J40" i="18"/>
  <c r="J39" i="18"/>
  <c r="J9" i="18"/>
  <c r="J8" i="18"/>
  <c r="J6" i="18"/>
  <c r="J5" i="18"/>
  <c r="J4" i="18"/>
  <c r="J33" i="17"/>
  <c r="I33" i="17"/>
  <c r="J4" i="17"/>
  <c r="I4" i="17"/>
  <c r="H57" i="18"/>
  <c r="H59" i="18" s="1"/>
  <c r="G57" i="18"/>
  <c r="G59" i="18" s="1"/>
  <c r="I56" i="18"/>
  <c r="H48" i="18"/>
  <c r="H50" i="18" s="1"/>
  <c r="H51" i="18" s="1"/>
  <c r="J51" i="18" s="1"/>
  <c r="G48" i="18"/>
  <c r="G50" i="18" s="1"/>
  <c r="I47" i="18"/>
  <c r="I45" i="18"/>
  <c r="H45" i="18"/>
  <c r="H46" i="18" s="1"/>
  <c r="G45" i="18"/>
  <c r="G46" i="18" s="1"/>
  <c r="I46" i="18" s="1"/>
  <c r="H43" i="18"/>
  <c r="H44" i="18" s="1"/>
  <c r="G43" i="18"/>
  <c r="I43" i="18" s="1"/>
  <c r="H41" i="18"/>
  <c r="H42" i="18" s="1"/>
  <c r="J42" i="18" s="1"/>
  <c r="G41" i="18"/>
  <c r="G42" i="18" s="1"/>
  <c r="I42" i="18" s="1"/>
  <c r="H40" i="18"/>
  <c r="G40" i="18"/>
  <c r="I40" i="18" s="1"/>
  <c r="I39" i="18"/>
  <c r="H26" i="18"/>
  <c r="H30" i="18" s="1"/>
  <c r="H31" i="18" s="1"/>
  <c r="J31" i="18" s="1"/>
  <c r="G26" i="18"/>
  <c r="H15" i="18"/>
  <c r="H17" i="18" s="1"/>
  <c r="G15" i="18"/>
  <c r="G16" i="18" s="1"/>
  <c r="I16" i="18" s="1"/>
  <c r="H12" i="18"/>
  <c r="J12" i="18" s="1"/>
  <c r="G12" i="18"/>
  <c r="G13" i="18" s="1"/>
  <c r="I13" i="18" s="1"/>
  <c r="G11" i="18"/>
  <c r="I11" i="18" s="1"/>
  <c r="I10" i="18"/>
  <c r="H10" i="18"/>
  <c r="H11" i="18" s="1"/>
  <c r="J11" i="18" s="1"/>
  <c r="G10" i="18"/>
  <c r="H8" i="18"/>
  <c r="H9" i="18" s="1"/>
  <c r="G8" i="18"/>
  <c r="I8" i="18" s="1"/>
  <c r="H6" i="18"/>
  <c r="H7" i="18" s="1"/>
  <c r="J7" i="18" s="1"/>
  <c r="G6" i="18"/>
  <c r="G7" i="18" s="1"/>
  <c r="I7" i="18" s="1"/>
  <c r="H5" i="18"/>
  <c r="G5" i="18"/>
  <c r="I5" i="18" s="1"/>
  <c r="I4" i="18"/>
  <c r="H37" i="17"/>
  <c r="H38" i="17" s="1"/>
  <c r="J38" i="17" s="1"/>
  <c r="G37" i="17"/>
  <c r="I37" i="17" s="1"/>
  <c r="H35" i="17"/>
  <c r="H36" i="17" s="1"/>
  <c r="J36" i="17" s="1"/>
  <c r="G35" i="17"/>
  <c r="G36" i="17" s="1"/>
  <c r="I36" i="17" s="1"/>
  <c r="H34" i="17"/>
  <c r="J34" i="17" s="1"/>
  <c r="G34" i="17"/>
  <c r="I34" i="17" s="1"/>
  <c r="H22" i="17"/>
  <c r="H23" i="17" s="1"/>
  <c r="J23" i="17" s="1"/>
  <c r="G22" i="17"/>
  <c r="I22" i="17" s="1"/>
  <c r="H13" i="17"/>
  <c r="G13" i="17"/>
  <c r="H10" i="17"/>
  <c r="J10" i="17" s="1"/>
  <c r="G10" i="17"/>
  <c r="G11" i="17" s="1"/>
  <c r="I11" i="17" s="1"/>
  <c r="H8" i="17"/>
  <c r="H9" i="17" s="1"/>
  <c r="J9" i="17" s="1"/>
  <c r="G8" i="17"/>
  <c r="I8" i="17" s="1"/>
  <c r="H6" i="17"/>
  <c r="H7" i="17" s="1"/>
  <c r="J7" i="17" s="1"/>
  <c r="G6" i="17"/>
  <c r="G7" i="17" s="1"/>
  <c r="I7" i="17" s="1"/>
  <c r="H5" i="17"/>
  <c r="J5" i="17" s="1"/>
  <c r="G5" i="17"/>
  <c r="I5" i="17" s="1"/>
  <c r="G18" i="12"/>
  <c r="H18" i="12" s="1"/>
  <c r="G17" i="12"/>
  <c r="H17" i="12" s="1"/>
  <c r="G13" i="12"/>
  <c r="H13" i="12" s="1"/>
  <c r="G12" i="12"/>
  <c r="H12" i="12" s="1"/>
  <c r="G8" i="12"/>
  <c r="H8" i="12" s="1"/>
  <c r="G7" i="12"/>
  <c r="H7" i="12" s="1"/>
  <c r="G16" i="4"/>
  <c r="G15" i="4"/>
  <c r="H15" i="4" s="1"/>
  <c r="G11" i="4"/>
  <c r="G10" i="4"/>
  <c r="G6" i="4"/>
  <c r="H6" i="4" s="1"/>
  <c r="G5" i="4"/>
  <c r="H5" i="4" s="1"/>
  <c r="H14" i="4"/>
  <c r="H10" i="4"/>
  <c r="H9" i="4"/>
  <c r="H16" i="12"/>
  <c r="H11" i="12"/>
  <c r="H14" i="12" s="1"/>
  <c r="H6" i="12"/>
  <c r="H9" i="12" s="1"/>
  <c r="H18" i="18" l="1"/>
  <c r="J18" i="18" s="1"/>
  <c r="J17" i="18"/>
  <c r="H28" i="18"/>
  <c r="I48" i="18"/>
  <c r="G49" i="18"/>
  <c r="I49" i="18" s="1"/>
  <c r="H49" i="18"/>
  <c r="J49" i="18" s="1"/>
  <c r="I12" i="18"/>
  <c r="G52" i="18"/>
  <c r="G53" i="18" s="1"/>
  <c r="I53" i="18" s="1"/>
  <c r="H52" i="18"/>
  <c r="H13" i="18"/>
  <c r="J13" i="18" s="1"/>
  <c r="G54" i="18"/>
  <c r="G55" i="18" s="1"/>
  <c r="I55" i="18" s="1"/>
  <c r="H54" i="18"/>
  <c r="J26" i="18"/>
  <c r="J10" i="18"/>
  <c r="G17" i="18"/>
  <c r="I17" i="18" s="1"/>
  <c r="J48" i="18"/>
  <c r="I57" i="18"/>
  <c r="J30" i="18"/>
  <c r="H23" i="18"/>
  <c r="H16" i="18"/>
  <c r="J16" i="18" s="1"/>
  <c r="H19" i="18"/>
  <c r="G58" i="18"/>
  <c r="I58" i="18" s="1"/>
  <c r="J50" i="18"/>
  <c r="H21" i="18"/>
  <c r="G61" i="18"/>
  <c r="G62" i="18" s="1"/>
  <c r="I62" i="18" s="1"/>
  <c r="J15" i="18"/>
  <c r="G63" i="18"/>
  <c r="G64" i="18" s="1"/>
  <c r="I64" i="18" s="1"/>
  <c r="I6" i="19"/>
  <c r="G7" i="19"/>
  <c r="I7" i="19" s="1"/>
  <c r="I24" i="19"/>
  <c r="G25" i="19"/>
  <c r="I25" i="19" s="1"/>
  <c r="G28" i="19"/>
  <c r="G26" i="19"/>
  <c r="G50" i="19"/>
  <c r="I50" i="19" s="1"/>
  <c r="I49" i="19"/>
  <c r="G53" i="19"/>
  <c r="G51" i="19"/>
  <c r="H10" i="19"/>
  <c r="H15" i="19"/>
  <c r="G8" i="19"/>
  <c r="G10" i="19"/>
  <c r="G12" i="19"/>
  <c r="G15" i="19"/>
  <c r="G37" i="19"/>
  <c r="G39" i="19"/>
  <c r="G42" i="19"/>
  <c r="H39" i="19"/>
  <c r="J6" i="19"/>
  <c r="H7" i="19"/>
  <c r="J7" i="19" s="1"/>
  <c r="H36" i="19"/>
  <c r="J36" i="19" s="1"/>
  <c r="H8" i="19"/>
  <c r="H12" i="19"/>
  <c r="H24" i="19"/>
  <c r="H42" i="19"/>
  <c r="H49" i="19"/>
  <c r="H37" i="19"/>
  <c r="J41" i="15"/>
  <c r="H28" i="15"/>
  <c r="J28" i="15" s="1"/>
  <c r="J47" i="15"/>
  <c r="H12" i="15"/>
  <c r="H50" i="15"/>
  <c r="J50" i="15" s="1"/>
  <c r="H59" i="15"/>
  <c r="J59" i="15" s="1"/>
  <c r="H42" i="15"/>
  <c r="J42" i="15" s="1"/>
  <c r="H14" i="15"/>
  <c r="J14" i="15" s="1"/>
  <c r="H7" i="15"/>
  <c r="J7" i="15" s="1"/>
  <c r="H8" i="15"/>
  <c r="H17" i="15"/>
  <c r="J17" i="15" s="1"/>
  <c r="H45" i="15"/>
  <c r="H43" i="15"/>
  <c r="H10" i="15"/>
  <c r="I6" i="15"/>
  <c r="H41" i="17"/>
  <c r="J41" i="17" s="1"/>
  <c r="H44" i="17"/>
  <c r="H45" i="17" s="1"/>
  <c r="J45" i="17" s="1"/>
  <c r="G44" i="17"/>
  <c r="G45" i="17" s="1"/>
  <c r="I45" i="17" s="1"/>
  <c r="G42" i="17"/>
  <c r="G43" i="17" s="1"/>
  <c r="I43" i="17" s="1"/>
  <c r="G41" i="17"/>
  <c r="I41" i="17" s="1"/>
  <c r="J40" i="17"/>
  <c r="J42" i="17"/>
  <c r="H49" i="17"/>
  <c r="H48" i="17"/>
  <c r="J48" i="17" s="1"/>
  <c r="G49" i="17"/>
  <c r="I49" i="17" s="1"/>
  <c r="H51" i="17"/>
  <c r="G48" i="17"/>
  <c r="I48" i="17" s="1"/>
  <c r="G51" i="17"/>
  <c r="G9" i="17"/>
  <c r="I9" i="17" s="1"/>
  <c r="H24" i="17"/>
  <c r="H25" i="17" s="1"/>
  <c r="J25" i="17" s="1"/>
  <c r="J35" i="17"/>
  <c r="G24" i="17"/>
  <c r="G25" i="17" s="1"/>
  <c r="I25" i="17" s="1"/>
  <c r="I10" i="17"/>
  <c r="I6" i="17"/>
  <c r="J22" i="17"/>
  <c r="G38" i="17"/>
  <c r="I38" i="17" s="1"/>
  <c r="J6" i="17"/>
  <c r="H11" i="17"/>
  <c r="J11" i="17" s="1"/>
  <c r="I13" i="17"/>
  <c r="J8" i="17"/>
  <c r="J13" i="17"/>
  <c r="G23" i="17"/>
  <c r="I23" i="17" s="1"/>
  <c r="I35" i="17"/>
  <c r="J37" i="17"/>
  <c r="G34" i="18"/>
  <c r="I50" i="18"/>
  <c r="G51" i="18"/>
  <c r="I51" i="18" s="1"/>
  <c r="H34" i="18"/>
  <c r="H60" i="18"/>
  <c r="J60" i="18" s="1"/>
  <c r="G60" i="18"/>
  <c r="I60" i="18" s="1"/>
  <c r="I59" i="18"/>
  <c r="H63" i="18"/>
  <c r="G19" i="18"/>
  <c r="G28" i="18"/>
  <c r="G23" i="18"/>
  <c r="I26" i="18"/>
  <c r="G32" i="18"/>
  <c r="G9" i="18"/>
  <c r="I9" i="18" s="1"/>
  <c r="G27" i="18"/>
  <c r="I27" i="18" s="1"/>
  <c r="H32" i="18"/>
  <c r="G44" i="18"/>
  <c r="I44" i="18" s="1"/>
  <c r="I52" i="18"/>
  <c r="H61" i="18"/>
  <c r="I6" i="18"/>
  <c r="I15" i="18"/>
  <c r="G21" i="18"/>
  <c r="H27" i="18"/>
  <c r="J27" i="18" s="1"/>
  <c r="G30" i="18"/>
  <c r="I41" i="18"/>
  <c r="H58" i="18"/>
  <c r="J58" i="18" s="1"/>
  <c r="H19" i="17"/>
  <c r="G17" i="17"/>
  <c r="H14" i="17"/>
  <c r="J14" i="17" s="1"/>
  <c r="G19" i="17"/>
  <c r="H17" i="17"/>
  <c r="G15" i="17"/>
  <c r="G26" i="17"/>
  <c r="G14" i="17"/>
  <c r="I14" i="17" s="1"/>
  <c r="H15" i="17"/>
  <c r="H26" i="17"/>
  <c r="G43" i="15"/>
  <c r="G42" i="15"/>
  <c r="G46" i="15"/>
  <c r="I46" i="15" s="1"/>
  <c r="G11" i="15"/>
  <c r="I11" i="15" s="1"/>
  <c r="G7" i="15"/>
  <c r="I7" i="15" s="1"/>
  <c r="G8" i="15"/>
  <c r="I8" i="15" s="1"/>
  <c r="H19" i="12"/>
  <c r="G19" i="12"/>
  <c r="G14" i="12"/>
  <c r="G9" i="12"/>
  <c r="G17" i="4"/>
  <c r="G12" i="4"/>
  <c r="G7" i="4"/>
  <c r="H62" i="18" l="1"/>
  <c r="J62" i="18" s="1"/>
  <c r="J61" i="18"/>
  <c r="H53" i="18"/>
  <c r="J53" i="18" s="1"/>
  <c r="J52" i="18"/>
  <c r="H29" i="18"/>
  <c r="J29" i="18" s="1"/>
  <c r="J28" i="18"/>
  <c r="H64" i="18"/>
  <c r="J64" i="18" s="1"/>
  <c r="J63" i="18"/>
  <c r="H55" i="18"/>
  <c r="J55" i="18" s="1"/>
  <c r="J54" i="18"/>
  <c r="I54" i="18"/>
  <c r="H33" i="18"/>
  <c r="J33" i="18" s="1"/>
  <c r="J32" i="18"/>
  <c r="G18" i="18"/>
  <c r="I18" i="18" s="1"/>
  <c r="I63" i="18"/>
  <c r="H35" i="18"/>
  <c r="J35" i="18" s="1"/>
  <c r="J34" i="18"/>
  <c r="H22" i="18"/>
  <c r="J22" i="18" s="1"/>
  <c r="J21" i="18"/>
  <c r="H20" i="18"/>
  <c r="J20" i="18" s="1"/>
  <c r="J19" i="18"/>
  <c r="H24" i="18"/>
  <c r="J24" i="18" s="1"/>
  <c r="J23" i="18"/>
  <c r="I61" i="18"/>
  <c r="H32" i="15"/>
  <c r="H33" i="15" s="1"/>
  <c r="J33" i="15" s="1"/>
  <c r="H34" i="15"/>
  <c r="H35" i="15" s="1"/>
  <c r="J35" i="15" s="1"/>
  <c r="H30" i="15"/>
  <c r="H31" i="15" s="1"/>
  <c r="J31" i="15" s="1"/>
  <c r="H29" i="15"/>
  <c r="J29" i="15" s="1"/>
  <c r="J15" i="19"/>
  <c r="H17" i="19"/>
  <c r="H19" i="19"/>
  <c r="H16" i="19"/>
  <c r="J16" i="19" s="1"/>
  <c r="H21" i="19"/>
  <c r="H13" i="19"/>
  <c r="J13" i="19" s="1"/>
  <c r="J12" i="19"/>
  <c r="H51" i="19"/>
  <c r="H50" i="19"/>
  <c r="J50" i="19" s="1"/>
  <c r="J49" i="19"/>
  <c r="H53" i="19"/>
  <c r="J39" i="19"/>
  <c r="H40" i="19"/>
  <c r="J40" i="19" s="1"/>
  <c r="I10" i="19"/>
  <c r="G11" i="19"/>
  <c r="I11" i="19" s="1"/>
  <c r="H46" i="19"/>
  <c r="J42" i="19"/>
  <c r="H43" i="19"/>
  <c r="J43" i="19" s="1"/>
  <c r="H44" i="19"/>
  <c r="I26" i="19"/>
  <c r="G27" i="19"/>
  <c r="I27" i="19" s="1"/>
  <c r="G19" i="19"/>
  <c r="G17" i="19"/>
  <c r="G16" i="19"/>
  <c r="I16" i="19" s="1"/>
  <c r="I15" i="19"/>
  <c r="I53" i="19"/>
  <c r="G54" i="19"/>
  <c r="I54" i="19" s="1"/>
  <c r="G9" i="19"/>
  <c r="I9" i="19" s="1"/>
  <c r="I8" i="19"/>
  <c r="H11" i="19"/>
  <c r="J11" i="19" s="1"/>
  <c r="J10" i="19"/>
  <c r="G13" i="19"/>
  <c r="I13" i="19" s="1"/>
  <c r="I12" i="19"/>
  <c r="G21" i="19"/>
  <c r="G43" i="19"/>
  <c r="I43" i="19" s="1"/>
  <c r="I42" i="19"/>
  <c r="G46" i="19"/>
  <c r="G44" i="19"/>
  <c r="J24" i="19"/>
  <c r="H28" i="19"/>
  <c r="H25" i="19"/>
  <c r="J25" i="19" s="1"/>
  <c r="H26" i="19"/>
  <c r="G40" i="19"/>
  <c r="I40" i="19" s="1"/>
  <c r="I39" i="19"/>
  <c r="J8" i="19"/>
  <c r="H9" i="19"/>
  <c r="J9" i="19" s="1"/>
  <c r="G38" i="19"/>
  <c r="I38" i="19" s="1"/>
  <c r="I37" i="19"/>
  <c r="G52" i="19"/>
  <c r="I52" i="19" s="1"/>
  <c r="I51" i="19"/>
  <c r="G29" i="19"/>
  <c r="I29" i="19" s="1"/>
  <c r="I28" i="19"/>
  <c r="H38" i="19"/>
  <c r="J38" i="19" s="1"/>
  <c r="J37" i="19"/>
  <c r="H11" i="15"/>
  <c r="J11" i="15" s="1"/>
  <c r="J10" i="15"/>
  <c r="H44" i="15"/>
  <c r="J44" i="15" s="1"/>
  <c r="J43" i="15"/>
  <c r="H13" i="15"/>
  <c r="J13" i="15" s="1"/>
  <c r="J12" i="15"/>
  <c r="H46" i="15"/>
  <c r="J46" i="15" s="1"/>
  <c r="J45" i="15"/>
  <c r="H9" i="15"/>
  <c r="J9" i="15" s="1"/>
  <c r="J8" i="15"/>
  <c r="H61" i="15"/>
  <c r="H65" i="15"/>
  <c r="H63" i="15"/>
  <c r="H60" i="15"/>
  <c r="J60" i="15" s="1"/>
  <c r="H56" i="15"/>
  <c r="H54" i="15"/>
  <c r="H52" i="15"/>
  <c r="H51" i="15"/>
  <c r="J51" i="15" s="1"/>
  <c r="H19" i="15"/>
  <c r="H18" i="15"/>
  <c r="J18" i="15" s="1"/>
  <c r="H23" i="15"/>
  <c r="H21" i="15"/>
  <c r="H25" i="15"/>
  <c r="J25" i="15" s="1"/>
  <c r="H15" i="15"/>
  <c r="J15" i="15" s="1"/>
  <c r="I44" i="17"/>
  <c r="J44" i="17"/>
  <c r="I42" i="17"/>
  <c r="G28" i="17"/>
  <c r="I28" i="17" s="1"/>
  <c r="G50" i="17"/>
  <c r="I50" i="17" s="1"/>
  <c r="G52" i="17"/>
  <c r="I52" i="17" s="1"/>
  <c r="I51" i="17"/>
  <c r="H52" i="17"/>
  <c r="J52" i="17" s="1"/>
  <c r="J51" i="17"/>
  <c r="J49" i="17"/>
  <c r="H50" i="17"/>
  <c r="J50" i="17" s="1"/>
  <c r="I24" i="17"/>
  <c r="J24" i="17"/>
  <c r="H27" i="17"/>
  <c r="J27" i="17" s="1"/>
  <c r="J26" i="17"/>
  <c r="G16" i="17"/>
  <c r="I16" i="17" s="1"/>
  <c r="I15" i="17"/>
  <c r="H18" i="17"/>
  <c r="J18" i="17" s="1"/>
  <c r="J17" i="17"/>
  <c r="H16" i="17"/>
  <c r="J16" i="17" s="1"/>
  <c r="J15" i="17"/>
  <c r="G27" i="17"/>
  <c r="I27" i="17" s="1"/>
  <c r="I26" i="17"/>
  <c r="G18" i="17"/>
  <c r="I18" i="17" s="1"/>
  <c r="I17" i="17"/>
  <c r="G20" i="17"/>
  <c r="I20" i="17" s="1"/>
  <c r="I19" i="17"/>
  <c r="H20" i="17"/>
  <c r="J20" i="17" s="1"/>
  <c r="J19" i="17"/>
  <c r="G24" i="18"/>
  <c r="I24" i="18" s="1"/>
  <c r="I23" i="18"/>
  <c r="G31" i="18"/>
  <c r="I31" i="18" s="1"/>
  <c r="I30" i="18"/>
  <c r="I28" i="18"/>
  <c r="G29" i="18"/>
  <c r="I29" i="18" s="1"/>
  <c r="G33" i="18"/>
  <c r="I33" i="18" s="1"/>
  <c r="I32" i="18"/>
  <c r="I21" i="18"/>
  <c r="G22" i="18"/>
  <c r="I22" i="18" s="1"/>
  <c r="I19" i="18"/>
  <c r="G20" i="18"/>
  <c r="I20" i="18" s="1"/>
  <c r="I34" i="18"/>
  <c r="G35" i="18"/>
  <c r="I35" i="18" s="1"/>
  <c r="H28" i="17"/>
  <c r="I42" i="15"/>
  <c r="I43" i="15"/>
  <c r="G44" i="15"/>
  <c r="I44" i="15" s="1"/>
  <c r="G9" i="15"/>
  <c r="I9" i="15" s="1"/>
  <c r="G17" i="15"/>
  <c r="G12" i="15"/>
  <c r="J30" i="15" l="1"/>
  <c r="J34" i="15"/>
  <c r="J32" i="15"/>
  <c r="J53" i="19"/>
  <c r="H54" i="19"/>
  <c r="J54" i="19" s="1"/>
  <c r="G47" i="19"/>
  <c r="I47" i="19" s="1"/>
  <c r="I46" i="19"/>
  <c r="J21" i="19"/>
  <c r="H22" i="19"/>
  <c r="J22" i="19" s="1"/>
  <c r="H30" i="19"/>
  <c r="J19" i="19"/>
  <c r="H20" i="19"/>
  <c r="J20" i="19" s="1"/>
  <c r="H27" i="19"/>
  <c r="J27" i="19" s="1"/>
  <c r="J26" i="19"/>
  <c r="J44" i="19"/>
  <c r="H45" i="19"/>
  <c r="J45" i="19" s="1"/>
  <c r="I17" i="19"/>
  <c r="G18" i="19"/>
  <c r="I18" i="19" s="1"/>
  <c r="J28" i="19"/>
  <c r="H29" i="19"/>
  <c r="J29" i="19" s="1"/>
  <c r="G22" i="19"/>
  <c r="I22" i="19" s="1"/>
  <c r="I21" i="19"/>
  <c r="G30" i="19"/>
  <c r="J46" i="19"/>
  <c r="H47" i="19"/>
  <c r="J47" i="19" s="1"/>
  <c r="H18" i="19"/>
  <c r="J18" i="19" s="1"/>
  <c r="J17" i="19"/>
  <c r="I19" i="19"/>
  <c r="G20" i="19"/>
  <c r="I20" i="19" s="1"/>
  <c r="G45" i="19"/>
  <c r="I45" i="19" s="1"/>
  <c r="I44" i="19"/>
  <c r="H52" i="19"/>
  <c r="J52" i="19" s="1"/>
  <c r="J51" i="19"/>
  <c r="H55" i="15"/>
  <c r="J55" i="15" s="1"/>
  <c r="J54" i="15"/>
  <c r="H22" i="15"/>
  <c r="J22" i="15" s="1"/>
  <c r="J21" i="15"/>
  <c r="H53" i="15"/>
  <c r="J53" i="15" s="1"/>
  <c r="J52" i="15"/>
  <c r="H57" i="15"/>
  <c r="J57" i="15" s="1"/>
  <c r="J56" i="15"/>
  <c r="H24" i="15"/>
  <c r="J24" i="15" s="1"/>
  <c r="J23" i="15"/>
  <c r="H64" i="15"/>
  <c r="J64" i="15" s="1"/>
  <c r="J63" i="15"/>
  <c r="H66" i="15"/>
  <c r="J66" i="15" s="1"/>
  <c r="J65" i="15"/>
  <c r="H20" i="15"/>
  <c r="J20" i="15" s="1"/>
  <c r="J19" i="15"/>
  <c r="H62" i="15"/>
  <c r="J62" i="15" s="1"/>
  <c r="J61" i="15"/>
  <c r="H36" i="15"/>
  <c r="H26" i="15"/>
  <c r="J26" i="15" s="1"/>
  <c r="G13" i="15"/>
  <c r="I13" i="15" s="1"/>
  <c r="I12" i="15"/>
  <c r="G18" i="15"/>
  <c r="I18" i="15" s="1"/>
  <c r="I17" i="15"/>
  <c r="G29" i="17"/>
  <c r="I29" i="17" s="1"/>
  <c r="H29" i="17"/>
  <c r="J29" i="17" s="1"/>
  <c r="J28" i="17"/>
  <c r="G23" i="15"/>
  <c r="I23" i="15" s="1"/>
  <c r="G21" i="15"/>
  <c r="I21" i="15" s="1"/>
  <c r="G19" i="15"/>
  <c r="I19" i="15" s="1"/>
  <c r="G47" i="15"/>
  <c r="G48" i="15" s="1"/>
  <c r="I48" i="15" s="1"/>
  <c r="I41" i="15"/>
  <c r="G14" i="15"/>
  <c r="G50" i="15"/>
  <c r="G51" i="15" s="1"/>
  <c r="I51" i="15" s="1"/>
  <c r="G59" i="15"/>
  <c r="G60" i="15" s="1"/>
  <c r="I60" i="15" s="1"/>
  <c r="G28" i="15"/>
  <c r="G31" i="19" l="1"/>
  <c r="I31" i="19" s="1"/>
  <c r="I30" i="19"/>
  <c r="H31" i="19"/>
  <c r="J31" i="19" s="1"/>
  <c r="J30" i="19"/>
  <c r="H37" i="15"/>
  <c r="J37" i="15" s="1"/>
  <c r="J36" i="15"/>
  <c r="G29" i="15"/>
  <c r="I29" i="15" s="1"/>
  <c r="I28" i="15"/>
  <c r="G15" i="15"/>
  <c r="I15" i="15" s="1"/>
  <c r="I14" i="15"/>
  <c r="G63" i="15"/>
  <c r="G61" i="15"/>
  <c r="G54" i="15"/>
  <c r="G52" i="15"/>
  <c r="G30" i="15"/>
  <c r="I30" i="15" s="1"/>
  <c r="G32" i="15"/>
  <c r="I32" i="15" s="1"/>
  <c r="G24" i="15"/>
  <c r="I24" i="15" s="1"/>
  <c r="G20" i="15"/>
  <c r="I20" i="15" s="1"/>
  <c r="G22" i="15"/>
  <c r="I22" i="15" s="1"/>
  <c r="I47" i="15"/>
  <c r="G65" i="15"/>
  <c r="I59" i="15"/>
  <c r="G56" i="15"/>
  <c r="I50" i="15"/>
  <c r="G34" i="15"/>
  <c r="I34" i="15" s="1"/>
  <c r="G25" i="15"/>
  <c r="G26" i="15" l="1"/>
  <c r="I26" i="15" s="1"/>
  <c r="I25" i="15"/>
  <c r="I65" i="15"/>
  <c r="G66" i="15"/>
  <c r="I66" i="15" s="1"/>
  <c r="I61" i="15"/>
  <c r="G62" i="15"/>
  <c r="I62" i="15" s="1"/>
  <c r="I63" i="15"/>
  <c r="G64" i="15"/>
  <c r="I64" i="15" s="1"/>
  <c r="I56" i="15"/>
  <c r="G57" i="15"/>
  <c r="I57" i="15" s="1"/>
  <c r="I52" i="15"/>
  <c r="G53" i="15"/>
  <c r="I53" i="15" s="1"/>
  <c r="I54" i="15"/>
  <c r="G55" i="15"/>
  <c r="I55" i="15" s="1"/>
  <c r="G35" i="15"/>
  <c r="I35" i="15" s="1"/>
  <c r="G33" i="15"/>
  <c r="I33" i="15" s="1"/>
  <c r="G31" i="15"/>
  <c r="I31" i="15" s="1"/>
  <c r="G36" i="15"/>
  <c r="I36" i="15" s="1"/>
  <c r="H7" i="4"/>
  <c r="H8" i="4"/>
  <c r="H11" i="4"/>
  <c r="H12" i="4"/>
  <c r="H13" i="4"/>
  <c r="H16" i="4"/>
  <c r="H17" i="4"/>
  <c r="H4" i="4"/>
  <c r="G37" i="15" l="1"/>
  <c r="I37" i="15" s="1"/>
  <c r="F19" i="3"/>
  <c r="H19" i="3" s="1"/>
  <c r="I19" i="3" s="1"/>
  <c r="F18" i="3"/>
  <c r="H18" i="3" s="1"/>
  <c r="I18" i="3" s="1"/>
  <c r="F17" i="3"/>
  <c r="G17" i="3" s="1"/>
  <c r="H17" i="3" s="1"/>
  <c r="I17" i="3" s="1"/>
  <c r="H16" i="3"/>
  <c r="I16" i="3" s="1"/>
  <c r="H15" i="3"/>
  <c r="I15" i="3" s="1"/>
  <c r="G14" i="3"/>
  <c r="H14" i="3" s="1"/>
  <c r="I14" i="3" s="1"/>
  <c r="H13" i="3"/>
  <c r="I13" i="3" s="1"/>
  <c r="H12" i="3"/>
  <c r="I12" i="3" s="1"/>
  <c r="H11" i="3"/>
  <c r="I11" i="3" s="1"/>
  <c r="G10" i="3"/>
  <c r="H10" i="3" s="1"/>
  <c r="I10" i="3" s="1"/>
  <c r="H9" i="3"/>
  <c r="I9" i="3" s="1"/>
  <c r="H8" i="3"/>
  <c r="I8" i="3" s="1"/>
  <c r="H7" i="3"/>
  <c r="I7" i="3" s="1"/>
  <c r="H6" i="3"/>
  <c r="I6" i="3" s="1"/>
  <c r="G6" i="3"/>
  <c r="H4" i="3"/>
  <c r="I4" i="3" s="1"/>
  <c r="H3" i="3"/>
  <c r="I3" i="3" s="1"/>
  <c r="G2" i="3"/>
  <c r="H2" i="3" s="1"/>
  <c r="I2" i="3" s="1"/>
</calcChain>
</file>

<file path=xl/sharedStrings.xml><?xml version="1.0" encoding="utf-8"?>
<sst xmlns="http://schemas.openxmlformats.org/spreadsheetml/2006/main" count="1626" uniqueCount="748">
  <si>
    <t>Product</t>
    <phoneticPr fontId="10" type="noConversion"/>
  </si>
  <si>
    <t>Description</t>
  </si>
  <si>
    <t xml:space="preserve">Type </t>
  </si>
  <si>
    <t>Terms &amp; Conditions</t>
  </si>
  <si>
    <t>MOQ</t>
  </si>
  <si>
    <t>AI-Stack Enterprise</t>
    <phoneticPr fontId="10" type="noConversion"/>
  </si>
  <si>
    <t>AI-Stack Enterprise Perpetual License, 1*GPU-Tier1, 1 year SUMS</t>
    <phoneticPr fontId="10" type="noConversion"/>
  </si>
  <si>
    <t>AI-Stack Enterprise SW License GPU</t>
  </si>
  <si>
    <t>(1) (2) (3)</t>
  </si>
  <si>
    <t>AI-Stack Enterprise</t>
  </si>
  <si>
    <t>AI-Stack Enterprise SUMS Renewal,  1*GPU-Tier1, 1 year</t>
    <phoneticPr fontId="10" type="noConversion"/>
  </si>
  <si>
    <t>AI-Stack Enterprise SUMS GPU</t>
  </si>
  <si>
    <t>(2) (3)</t>
  </si>
  <si>
    <t>AI-Stack Express to Enterprise Perpetual License Upgrade for 1*GPU-Tier1</t>
    <phoneticPr fontId="10" type="noConversion"/>
  </si>
  <si>
    <t>Express-to-Enterprise Upgrade GPU</t>
    <phoneticPr fontId="10" type="noConversion"/>
  </si>
  <si>
    <t>(3) (4)</t>
  </si>
  <si>
    <t>AI-Stack Enterprise Perpetual License, 1*GPU-Tier2, 1 year SUMS</t>
    <phoneticPr fontId="10" type="noConversion"/>
  </si>
  <si>
    <t>AI-Stack Enterprise SUMS Renewal,  1*GPU-Tier2, 1 year</t>
    <phoneticPr fontId="10" type="noConversion"/>
  </si>
  <si>
    <t>AI-Stack Express to Enterprise Perpetual License Upgrade for 1*GPU-Tier2</t>
    <phoneticPr fontId="10" type="noConversion"/>
  </si>
  <si>
    <t>AI-Stack Enterprise Perpetual License, 1*GPU-Tier3, 1 year SUMS</t>
    <phoneticPr fontId="10" type="noConversion"/>
  </si>
  <si>
    <t>AI-Stack Enterprise SUMS Renewal,  1*GPU-Tier3, 1 year</t>
    <phoneticPr fontId="10" type="noConversion"/>
  </si>
  <si>
    <t>AI-Stack Express to Enterprise Perpetual License Upgrade for 1*GPU-Tier3</t>
    <phoneticPr fontId="10" type="noConversion"/>
  </si>
  <si>
    <t>AI-Stack Express</t>
    <phoneticPr fontId="10" type="noConversion"/>
  </si>
  <si>
    <t>AI-Stack Express Perpetual License, 1*GPU-Tier1, 1 year SUMS</t>
    <phoneticPr fontId="10" type="noConversion"/>
  </si>
  <si>
    <t>AI-Stack Express SW License GPU</t>
  </si>
  <si>
    <t>AI-Stack Express SUMS Renewal,  1*GPU-Tier1, 1 year</t>
    <phoneticPr fontId="10" type="noConversion"/>
  </si>
  <si>
    <t>AI-Stack Express SUMS GPU</t>
  </si>
  <si>
    <t>AI-Stack Express Perpetual License, 1*GPU-Tier2, 1 year SUMS</t>
    <phoneticPr fontId="10" type="noConversion"/>
  </si>
  <si>
    <t>AI-Stack Express SUMS Renewal,  1*GPU-Tier2, 1 year</t>
    <phoneticPr fontId="10" type="noConversion"/>
  </si>
  <si>
    <t>AI-Stack Express Perpetual License, 1*GPU-Tier3, 1 year SUMS</t>
    <phoneticPr fontId="10" type="noConversion"/>
  </si>
  <si>
    <t>AI-Stack Express SUMS Renewal,  1*GPU-Tier3, 1 year</t>
    <phoneticPr fontId="10" type="noConversion"/>
  </si>
  <si>
    <t>NVPN</t>
  </si>
  <si>
    <t>Type (10%off)</t>
  </si>
  <si>
    <t>牌價</t>
  </si>
  <si>
    <t>Zerone price (牌價*0.95*0.95)</t>
  </si>
  <si>
    <t>COGS(+160)</t>
  </si>
  <si>
    <t>FOB (5% margin)</t>
  </si>
  <si>
    <t>TWD(*33)</t>
  </si>
  <si>
    <t>Leadtek Partner Price</t>
  </si>
  <si>
    <t>Suggested End User Price</t>
  </si>
  <si>
    <t>Standard</t>
  </si>
  <si>
    <t>920-22787-2500-000</t>
  </si>
  <si>
    <t>8-GPU/512GB DGX-1 Deep Learning System with P100</t>
  </si>
  <si>
    <t>930-22787-2510-0U1</t>
  </si>
  <si>
    <t>Upgrade kit for DGX-1 DL System with P100 to V100</t>
  </si>
  <si>
    <t>NA</t>
  </si>
  <si>
    <t xml:space="preserve">718-22787-2510-001   </t>
  </si>
  <si>
    <t>8GPU/512GB DGX-1 DL System V100 1yr Support</t>
  </si>
  <si>
    <t xml:space="preserve">718-22787-2510-003  </t>
  </si>
  <si>
    <t>8GPU/512GB DGX-1 DL System V100 3yr Support</t>
  </si>
  <si>
    <t>EDU 30%0ff Program</t>
  </si>
  <si>
    <t>Upgrade Kit for DGX-1 DL System with P100 to V100</t>
  </si>
  <si>
    <t>718-22787-2510-ED1</t>
  </si>
  <si>
    <t>8GPU/512GB DGX-1 DL System V100 1yr Sup EDU</t>
  </si>
  <si>
    <t>718-22787-2510-ED3</t>
  </si>
  <si>
    <t>8GPU/512GB DGX-1 DL System V100 3yr Sup EDU</t>
  </si>
  <si>
    <t>NPN
擎昊/鴻鵠</t>
  </si>
  <si>
    <t>Standard (extra 10%off)</t>
  </si>
  <si>
    <t>EDU 30%0ff Program (extra 10%off)</t>
  </si>
  <si>
    <t>Start-up</t>
  </si>
  <si>
    <t>DGX-1 Hardware</t>
  </si>
  <si>
    <t>718-22787-2500-001</t>
  </si>
  <si>
    <t>DGX-1 1 Yr Support</t>
  </si>
  <si>
    <t>718-22787-2500-003</t>
  </si>
  <si>
    <t>DGX-1 3 Yr Support</t>
  </si>
  <si>
    <t>AI-Stack Enterprise EDU</t>
    <phoneticPr fontId="10" type="noConversion"/>
  </si>
  <si>
    <t>AI-Stack Enterprise EDU Perpetual License, 1*GPU-Tier1, 1 year SUMS</t>
    <phoneticPr fontId="10" type="noConversion"/>
  </si>
  <si>
    <t>AI-Stack Enterprise EDU SUMS Renewal,  1*GPU-Tier1, 1 year</t>
    <phoneticPr fontId="10" type="noConversion"/>
  </si>
  <si>
    <t>AI-Stack Express EDU to Enterprise EDU Perpetual License Upgrade for 1*GPU-Tier1</t>
    <phoneticPr fontId="10" type="noConversion"/>
  </si>
  <si>
    <t>AI-Stack Enterprise EDU Perpetual License, 1*GPU-Tier2, 1 year SUMS</t>
    <phoneticPr fontId="10" type="noConversion"/>
  </si>
  <si>
    <t>AI-Stack Enterprise EDU SUMS Renewal,  1*GPU-Tier2, 1 year</t>
    <phoneticPr fontId="10" type="noConversion"/>
  </si>
  <si>
    <t>AI-Stack Express EDU to Enterprise EDU Perpetual License Upgrade for 1*GPU-Tier2</t>
    <phoneticPr fontId="10" type="noConversion"/>
  </si>
  <si>
    <t>AI-Stack Enterprise EDU Perpetual License, 1*GPU-Tier3, 1 year SUMS</t>
    <phoneticPr fontId="10" type="noConversion"/>
  </si>
  <si>
    <t>AI-Stack Enterprise EDU SUMS Renewal,  1*GPU-Tier3, 1 year</t>
    <phoneticPr fontId="10" type="noConversion"/>
  </si>
  <si>
    <t>AI-Stack Express EDU to Enterprise EDU Perpetual License Upgrade for 1*GPU-Tier3</t>
    <phoneticPr fontId="10" type="noConversion"/>
  </si>
  <si>
    <t>AI-Stack Express EDU</t>
    <phoneticPr fontId="10" type="noConversion"/>
  </si>
  <si>
    <t>AI-Stack Express EDU Perpetual License, 1*GPU-Tier1, 1 year SUMS</t>
    <phoneticPr fontId="10" type="noConversion"/>
  </si>
  <si>
    <t>AI-Stack Express EDU SUMS Renewal,  1*GPU-Tier1, 1 year</t>
    <phoneticPr fontId="10" type="noConversion"/>
  </si>
  <si>
    <t>AI-Stack Express EDU Perpetual License, 1*GPU-Tier3, 1 year SUMS</t>
    <phoneticPr fontId="10" type="noConversion"/>
  </si>
  <si>
    <t>AI-Stack Express EDU SUMS Renewal,  1*GPU-Tier3, 1 year</t>
    <phoneticPr fontId="10" type="noConversion"/>
  </si>
  <si>
    <t>CEL-C0112-N</t>
  </si>
  <si>
    <t>CloudFusion Enterprise</t>
    <phoneticPr fontId="10" type="noConversion"/>
  </si>
  <si>
    <t>CloudFusion Enterprise Perpetual License, 1 CPU, 1 year SUMS</t>
    <phoneticPr fontId="10" type="noConversion"/>
  </si>
  <si>
    <t>CloudFusion Enterprise License 1 CPU</t>
  </si>
  <si>
    <t>(1) (2)</t>
  </si>
  <si>
    <t>CER-C0112-N</t>
  </si>
  <si>
    <t>CloudFusion Enterprise SUMS Renewal, 1 CPU, 1 year</t>
  </si>
  <si>
    <t>CloudFusion Enterprise SUMS 1 CPU</t>
  </si>
  <si>
    <t>(2)</t>
  </si>
  <si>
    <t>CEL-C0612-N</t>
    <phoneticPr fontId="10" type="noConversion"/>
  </si>
  <si>
    <t>CloudFusion Enterprise Perpetual License, 6 CPUs, 1 year SUMS</t>
    <phoneticPr fontId="10" type="noConversion"/>
  </si>
  <si>
    <t>CloudFusion Enterprise License 6 CPUs</t>
  </si>
  <si>
    <t>CER-C0612-N</t>
  </si>
  <si>
    <t>CloudFusion Enterprise SUMS Renewal, 6 CPUs, 1 year</t>
  </si>
  <si>
    <t>CloudFusion Enterprise SUMS 6 CPUs</t>
  </si>
  <si>
    <t>CEL-C1212-N</t>
  </si>
  <si>
    <t>CloudFusion Enterprise Perpetual License, 12 CPUs, 1 year SUMS</t>
  </si>
  <si>
    <t>CloudFusion Enterprise License 12 CPUs</t>
  </si>
  <si>
    <t>CER-C1212-N</t>
  </si>
  <si>
    <t>CloudFusion Enterprise SUMS Renewal, 12 CPUs, 1 year</t>
  </si>
  <si>
    <t>CloudFusion Enterprise SUMS 12 CPUs</t>
  </si>
  <si>
    <t>功能</t>
    <phoneticPr fontId="10" type="noConversion"/>
  </si>
  <si>
    <t>CEL-C0112-E</t>
  </si>
  <si>
    <t>CloudFusion Enterprise EDU</t>
    <phoneticPr fontId="10" type="noConversion"/>
  </si>
  <si>
    <t>CloudFusion Enterprise EDU Perpetual License, 1 CPU, 1 year SUMS</t>
  </si>
  <si>
    <t>(1) (2) (5)</t>
  </si>
  <si>
    <t>CER-C0112-E</t>
  </si>
  <si>
    <t>CloudFusion Enterprise EDU SUMS Renewal, 1 CPU, 1 year</t>
  </si>
  <si>
    <t>(2) (5)</t>
  </si>
  <si>
    <t>CEL-C0612-E</t>
  </si>
  <si>
    <t>CloudFusion Enterprise EDU Perpetual License, 6 CPUs, 1 year SUMS</t>
  </si>
  <si>
    <t>CER-C0612-E</t>
  </si>
  <si>
    <t>CloudFusion Enterprise EDU SUMS Renewal, 6 CPUs, 1 year</t>
  </si>
  <si>
    <t>CEL-C1212-E</t>
  </si>
  <si>
    <t>CloudFusion Enterprise EDU Perpetual License, 12 CPUs, 1 year SUMS</t>
  </si>
  <si>
    <t>CER-C1212-E</t>
  </si>
  <si>
    <t>CloudFusion Enterprise EDU SUMS Renewal, 12 CPUs, 1 year</t>
  </si>
  <si>
    <t>項次</t>
    <phoneticPr fontId="10" type="noConversion"/>
  </si>
  <si>
    <t>項目</t>
    <phoneticPr fontId="10" type="noConversion"/>
  </si>
  <si>
    <t>說明</t>
    <phoneticPr fontId="10" type="noConversion"/>
  </si>
  <si>
    <t>料號編碼</t>
    <phoneticPr fontId="10" type="noConversion"/>
  </si>
  <si>
    <t>(1)</t>
  </si>
  <si>
    <t>軟體授權</t>
    <phoneticPr fontId="10" type="noConversion"/>
  </si>
  <si>
    <t>#CSL, #CEL, #ALL, #AXL</t>
  </si>
  <si>
    <t>#CSL, #CEL, #ALL, #AXL, #CSR, #CER, #ALR, #AXR</t>
  </si>
  <si>
    <t>(3)</t>
  </si>
  <si>
    <t>GPU授權分級</t>
    <phoneticPr fontId="10" type="noConversion"/>
  </si>
  <si>
    <t>GPU授權分級：授權與GPU一起使用的軟體授權及其相關原廠更新、支援與維護服務(SUMS)可能因特定NVIDIA DGX伺服器方案或不同層級的GPU而有差異（請參閱原廠公告之AI-Stack GPU層級表）。</t>
    <phoneticPr fontId="10" type="noConversion"/>
  </si>
  <si>
    <t>#ALL-D/G,  #ALR-D/G, #AXL-D/G, #AXR-D/G, #AXU-D/G</t>
  </si>
  <si>
    <t>(4)</t>
  </si>
  <si>
    <t>產品升級</t>
    <phoneticPr fontId="10" type="noConversion"/>
  </si>
  <si>
    <t>產品升級：同一產品系列（即AI-Stack，CloudFusion）軟體授權可升級到更高級別的產品，剩餘期間的原廠更新、支援與維護服務(SUMS)可平行轉移。更新後的SUMS適用於升級後的產品。</t>
    <phoneticPr fontId="10" type="noConversion"/>
  </si>
  <si>
    <t>#CEU, #AXU</t>
  </si>
  <si>
    <t>(5)</t>
  </si>
  <si>
    <t>教育折扣</t>
    <phoneticPr fontId="10" type="noConversion"/>
  </si>
  <si>
    <t xml:space="preserve">教育折扣：數位無限教育版軟體優惠授權及其相關的軟體保固(MA/SUMS) ，僅售予教育部全球資訊網所認定之各級學校及合格之非盈利教育機構  ，及中央或地方政府教育主管機關為提供各級學校使用之統籌計劃，用於非屬營利目的之教學、研究、及其他支持教育目的相關之師生與教職人員使用，不得轉售。任何商業或以營利為目的之用途均不得安裝與使用。 </t>
    <phoneticPr fontId="10" type="noConversion"/>
  </si>
  <si>
    <t>#CSL/R-*-E, #CEL/R/U-*-E, #ALL/R-*-E, #AXL/R/U-*-E</t>
  </si>
  <si>
    <t>(6)</t>
  </si>
  <si>
    <t>#PSS-AF4*, (#AL*, #AX*)</t>
  </si>
  <si>
    <t>(7)</t>
  </si>
  <si>
    <t>#PSS-STR*</t>
  </si>
  <si>
    <t>(8)</t>
  </si>
  <si>
    <t>#PSS-PAM*</t>
  </si>
  <si>
    <t>(9)</t>
  </si>
  <si>
    <t>#PST-CAL*</t>
  </si>
  <si>
    <t>(10)</t>
  </si>
  <si>
    <t>#PST-OST*</t>
  </si>
  <si>
    <t>(11)</t>
  </si>
  <si>
    <t>#PSO-IST*</t>
  </si>
  <si>
    <t>(12)</t>
  </si>
  <si>
    <t>#PSO-CTM*</t>
  </si>
  <si>
    <t>(13)</t>
    <phoneticPr fontId="10" type="noConversion"/>
  </si>
  <si>
    <t>#PSO-OST*</t>
    <phoneticPr fontId="10" type="noConversion"/>
  </si>
  <si>
    <t>No</t>
  </si>
  <si>
    <t>Item</t>
    <phoneticPr fontId="10" type="noConversion"/>
  </si>
  <si>
    <t>Descriptions</t>
  </si>
  <si>
    <t>Applicability</t>
  </si>
  <si>
    <t>Perpetual licenses</t>
    <phoneticPr fontId="10" type="noConversion"/>
  </si>
  <si>
    <t>GPU Tier Perpetual licenses</t>
    <phoneticPr fontId="10" type="noConversion"/>
  </si>
  <si>
    <r>
      <t xml:space="preserve">Perpetual licenses, and the associated SUMS, authorized for use with GPUs may vary by specific NVIDIA DGX server packages and/or by different GPU performance tiers (for tier classification, please refer to </t>
    </r>
    <r>
      <rPr>
        <u/>
        <sz val="10"/>
        <color theme="8"/>
        <rFont val="Calibri"/>
        <family val="2"/>
      </rPr>
      <t>AI-Stack GPU Tier Table</t>
    </r>
    <r>
      <rPr>
        <sz val="10"/>
        <color rgb="FF000000"/>
        <rFont val="Calibri"/>
        <family val="2"/>
      </rPr>
      <t>).</t>
    </r>
    <phoneticPr fontId="10" type="noConversion"/>
  </si>
  <si>
    <t>Product upgrade</t>
    <phoneticPr fontId="10" type="noConversion"/>
  </si>
  <si>
    <t>Perpetual licenses may be upgradeable to the higher-level products in the same product series (i.e., AI-Stack, CloudFusion), with the remaining SUMS carried over. The renewal of SUMS after upgrades shall apply to the upgraded products.</t>
  </si>
  <si>
    <t>Education (EDU) licenses</t>
    <phoneticPr fontId="10" type="noConversion"/>
  </si>
  <si>
    <t>Education (EDU) licenses (and the associated SUMS) are the licenses (and services) attached to software that are sold at a discount to the faculty affiliated with an eligible educational institution and can not be resold at any point.</t>
    <phoneticPr fontId="10" type="noConversion"/>
  </si>
  <si>
    <t xml:space="preserve"> </t>
  </si>
  <si>
    <r>
      <t>AI-Stack</t>
    </r>
    <r>
      <rPr>
        <sz val="12"/>
        <color theme="1"/>
        <rFont val="細明體"/>
        <family val="3"/>
        <charset val="136"/>
      </rPr>
      <t>版本功能表(Express與Lite版本功能差異)</t>
    </r>
    <phoneticPr fontId="10" type="noConversion"/>
  </si>
  <si>
    <t>支援清單</t>
    <phoneticPr fontId="10" type="noConversion"/>
  </si>
  <si>
    <t>CloudFusion 
Enterprise</t>
    <phoneticPr fontId="10" type="noConversion"/>
  </si>
  <si>
    <t>私有雲 
基礎資源串接、協同與調度</t>
    <phoneticPr fontId="10" type="noConversion"/>
  </si>
  <si>
    <t>VMware與OpenStack</t>
    <phoneticPr fontId="10" type="noConversion"/>
  </si>
  <si>
    <t>支援多款私有雲(不限)</t>
    <phoneticPr fontId="10" type="noConversion"/>
  </si>
  <si>
    <t>公有雲 
基礎資源串接、協同與調度</t>
    <phoneticPr fontId="10" type="noConversion"/>
  </si>
  <si>
    <t>AWS、Microsoft Azure、
阿里雲、Google Cloud Platform</t>
    <phoneticPr fontId="10" type="noConversion"/>
  </si>
  <si>
    <t>支援多款公有雲(不限)</t>
    <phoneticPr fontId="10" type="noConversion"/>
  </si>
  <si>
    <t>支援客製化開發需求</t>
    <phoneticPr fontId="10" type="noConversion"/>
  </si>
  <si>
    <r>
      <t>AI-Stack</t>
    </r>
    <r>
      <rPr>
        <sz val="12"/>
        <color theme="1"/>
        <rFont val="Arial"/>
        <family val="3"/>
      </rPr>
      <t xml:space="preserve"> GPU Tier Support List</t>
    </r>
    <phoneticPr fontId="10" type="noConversion"/>
  </si>
  <si>
    <t>數位無限產品保固及過保說明</t>
    <phoneticPr fontId="10" type="noConversion"/>
  </si>
  <si>
    <t>資料來源連結如下，若說明有差異，以以下連結內容為主</t>
    <phoneticPr fontId="10" type="noConversion"/>
  </si>
  <si>
    <r>
      <rPr>
        <u/>
        <sz val="12"/>
        <color theme="10"/>
        <rFont val="微軟正黑體"/>
        <family val="2"/>
        <charset val="136"/>
      </rPr>
      <t>數位無限產品保固及過保說明連結</t>
    </r>
    <r>
      <rPr>
        <u/>
        <sz val="12"/>
        <color theme="10"/>
        <rFont val="Arial"/>
        <family val="2"/>
      </rPr>
      <t>(</t>
    </r>
    <r>
      <rPr>
        <u/>
        <sz val="12"/>
        <color theme="10"/>
        <rFont val="微軟正黑體"/>
        <family val="2"/>
        <charset val="136"/>
      </rPr>
      <t>點我</t>
    </r>
    <r>
      <rPr>
        <u/>
        <sz val="12"/>
        <color theme="10"/>
        <rFont val="Arial"/>
        <family val="2"/>
      </rPr>
      <t>)</t>
    </r>
    <phoneticPr fontId="10" type="noConversion"/>
  </si>
  <si>
    <t>#原廠保固內容？</t>
  </si>
  <si>
    <t>保固標的物為數位無限所提供之軟體服務系統並具備合法軟體授權。除此之外之硬體、作業系統、網路系統或其他非保固標的物之外的軟硬體系統均不在保固範圍。</t>
  </si>
  <si>
    <t>#保固方式？</t>
  </si>
  <si>
    <t>具合法授權並於軟體保固期間內之用戶，數位無限將承諾針對軟體之程式碼瑕疵進行維護與修正，並享有技術支援服務。</t>
  </si>
  <si>
    <t>#保修時間?</t>
  </si>
  <si>
    <t>工作日每周一至周五，上午10時至下午18時(依台灣行政院人事行政局公佈之國定假日以外視同工作日)。</t>
  </si>
  <si>
    <t>#如何報修?</t>
  </si>
  <si>
    <t>數位無限提供電子信箱與電話聯絡方式</t>
  </si>
  <si>
    <t>電話：07-3963396 # 101</t>
    <phoneticPr fontId="10" type="noConversion"/>
  </si>
  <si>
    <t>#如何支援?</t>
  </si>
  <si>
    <t>1.技術支援包含電話排除異常教學、電子郵件排除異常教學、 以及遠端排除異常操作。</t>
  </si>
  <si>
    <t>(註1：除原廠過失或產品重大瑕疵造成原廠必須赴客戶現場處理之情事以外，客戶要求原廠到場排除異常操作視同購買額外付費服務。)</t>
  </si>
  <si>
    <t>2.保固更新實施方式為遠端保固更新。</t>
  </si>
  <si>
    <t>(註2：除原廠過失或產品重大瑕疵造成原廠必須赴客戶現場處理保固更新之情事以外，客戶可依個案需求額外付費取得到場保固更新服務。)</t>
  </si>
  <si>
    <t>#如何處理?</t>
    <phoneticPr fontId="10" type="noConversion"/>
  </si>
  <si>
    <t>軟體因程式碼上的瑕疵、系統服務發生異常，或必要性的功能調整、新增，例如資安漏洞修補，將由數位無限提供技術支援服務，若經檢測後需進行軟體更新或修復作業，也將由數位無限提供原廠服務。</t>
  </si>
  <si>
    <t>範例一、AI-Stack報價說明</t>
    <phoneticPr fontId="10" type="noConversion"/>
  </si>
  <si>
    <t>客戶有AI-Stack需求，硬體規格如下，請協助報價:</t>
    <phoneticPr fontId="10" type="noConversion"/>
  </si>
  <si>
    <t>一台DELL Server(規格為:CPU*2 / 512GB RAM / 600G 15K*2 HDD/ V100 GPU卡*2片/ POWER*2)。</t>
    <phoneticPr fontId="10" type="noConversion"/>
  </si>
  <si>
    <t>報價步驟:</t>
    <phoneticPr fontId="10" type="noConversion"/>
  </si>
  <si>
    <t>客戶是否是教育單位?</t>
    <phoneticPr fontId="10" type="noConversion"/>
  </si>
  <si>
    <t>客戶回答:No</t>
    <phoneticPr fontId="10" type="noConversion"/>
  </si>
  <si>
    <t>請客戶提供實際的硬體規格，內建的GPU卡片為何?</t>
    <phoneticPr fontId="10" type="noConversion"/>
  </si>
  <si>
    <t>依照上面的規格可以得知 GPU卡片為:"V100 GPU卡*2片"。</t>
    <phoneticPr fontId="10" type="noConversion"/>
  </si>
  <si>
    <t>AI-Stack版本為何? GPU 資源管理 only or 需要 MLOps</t>
    <phoneticPr fontId="10" type="noConversion"/>
  </si>
  <si>
    <t>客戶回答: GPU 資源管理 only</t>
    <phoneticPr fontId="10" type="noConversion"/>
  </si>
  <si>
    <t>客戶需要保固多久?</t>
    <phoneticPr fontId="10" type="noConversion"/>
  </si>
  <si>
    <t>客戶回答:3年</t>
    <phoneticPr fontId="10" type="noConversion"/>
  </si>
  <si>
    <t>是否需要AI-Framework模版，若需要，需要幾個模版呢?</t>
    <phoneticPr fontId="10" type="noConversion"/>
  </si>
  <si>
    <t>客戶回答:需要6個模版</t>
    <phoneticPr fontId="10" type="noConversion"/>
  </si>
  <si>
    <t>是否需要包含安裝</t>
    <phoneticPr fontId="10" type="noConversion"/>
  </si>
  <si>
    <t>客戶回答:需要</t>
    <phoneticPr fontId="10" type="noConversion"/>
  </si>
  <si>
    <t>是否需要包含教育訓練</t>
    <phoneticPr fontId="10" type="noConversion"/>
  </si>
  <si>
    <t>需求確認</t>
    <phoneticPr fontId="10" type="noConversion"/>
  </si>
  <si>
    <t>客戶非教育單位，報價採商用版報價</t>
    <phoneticPr fontId="10" type="noConversion"/>
  </si>
  <si>
    <t>V100顯示卡在AI-Stack原廠等級為Tier 1(參閱AI-Stack GPU Tier 對應表)，需求為2片</t>
    <phoneticPr fontId="10" type="noConversion"/>
  </si>
  <si>
    <t>版本為AI-Stack Express版</t>
    <phoneticPr fontId="10" type="noConversion"/>
  </si>
  <si>
    <t>需要三年保固</t>
    <phoneticPr fontId="10" type="noConversion"/>
  </si>
  <si>
    <t>需要AI-Framework模版*6個</t>
    <phoneticPr fontId="10" type="noConversion"/>
  </si>
  <si>
    <t>需要安裝</t>
    <phoneticPr fontId="10" type="noConversion"/>
  </si>
  <si>
    <t>需要教育訓練</t>
    <phoneticPr fontId="10" type="noConversion"/>
  </si>
  <si>
    <t>AI-Stack Express EDU Perpetual License, 1*GPU-Tier2, 1 year SUMS</t>
    <phoneticPr fontId="10" type="noConversion"/>
  </si>
  <si>
    <t>AI-Stack Express EDU SUMS Renewal,  1*GPU-Tier2, 1 year</t>
    <phoneticPr fontId="10" type="noConversion"/>
  </si>
  <si>
    <t>Part Number</t>
  </si>
  <si>
    <t>AI-Stack Express Perpetual License, 1*GPU-Tier1, 2 year SUMS</t>
  </si>
  <si>
    <t>AI-Stack Express Perpetual License, 1*GPU-Tier1, 3 year SUMS</t>
  </si>
  <si>
    <t>AI-Stack Express Perpetual License, 1*GPU-Tier2, 2 year SUMS</t>
  </si>
  <si>
    <t>AI-Stack Express Perpetual License, 1*GPU-Tier2, 3 year SUMS</t>
  </si>
  <si>
    <t>AI-Stack Express Perpetual License, 1*GPU-Tier3, 2 year SUMS</t>
  </si>
  <si>
    <t>AI-Stack Express Perpetual License, 1*GPU-Tier3, 3 year SUMS</t>
  </si>
  <si>
    <t>AI-Stack Express Perpetual License, 1*NODE-Tier1, 1 year SUMS</t>
  </si>
  <si>
    <t>AI-Stack Express Perpetual License, 1*NODE-Tier1, 2 year SUMS</t>
  </si>
  <si>
    <t>AI-Stack Express Perpetual License, 1*NODE-Tier1, 3 year SUMS</t>
  </si>
  <si>
    <t>AI-Stack Express SUMS Renewal,  1*NODE-Tier1, 1 year</t>
  </si>
  <si>
    <t>AI-Stack Express Perpetual License, 1*NODE-Tier2, 1 year SUMS</t>
  </si>
  <si>
    <t>AI-Stack Express Perpetual License, 1*NODE-Tier2, 2 year SUMS</t>
  </si>
  <si>
    <t>AI-Stack Express Perpetual License, 1*NODE-Tier2, 3 year SUMS</t>
  </si>
  <si>
    <t>AI-Stack Express SUMS Renewal,  1*NODE-Tier2, 1 year</t>
  </si>
  <si>
    <t>AI-Stack Express Perpetual License, 1*NODE-Tier3, 1 year SUMS</t>
  </si>
  <si>
    <t>AI-Stack Express Perpetual License, 1*NODE-Tier3, 2 year SUMS</t>
  </si>
  <si>
    <t>AI-Stack Express Perpetual License, 1*NODE-Tier3, 3 year SUMS</t>
  </si>
  <si>
    <t>AI-Stack Express SUMS Renewal,  1*NODE-Tier3, 1 year</t>
  </si>
  <si>
    <t>AI-Stack Enterprise Perpetual License, 1*NODE-Tier1, 1 year SUMS</t>
  </si>
  <si>
    <t>AI-Stack Enterprise SUMS Renewal,  1*NODE-Tier1, 1 year</t>
  </si>
  <si>
    <t>AI-Stack Express to Enterprise Perpetual License Upgrade for 1*NODE-Tier1</t>
  </si>
  <si>
    <t>AI-Stack Enterprise Perpetual License, 1*NODE-Tier2, 1 year SUMS</t>
  </si>
  <si>
    <t>AI-Stack Enterprise SUMS Renewal,  1*NODE-Tier2, 1 year</t>
  </si>
  <si>
    <t>AI-Stack Express to Enterprise Perpetual License Upgrade for 1*NODE-Tier2</t>
  </si>
  <si>
    <t>AI-Stack Enterprise Perpetual License, 1*NODE-Tier3, 1 year SUMS</t>
  </si>
  <si>
    <t>AI-Stack Enterprise SUMS Renewal,  1*NODE-Tier3, 1 year</t>
  </si>
  <si>
    <t>AI-Stack Express to Enterprise Perpetual License Upgrade for 1*NODE-Tier3</t>
  </si>
  <si>
    <t>AI-Stack Enterprise EDU Perpetual License, 1*NODE-Tier1, 1 year SUMS</t>
  </si>
  <si>
    <t>AI-Stack Express EDU to Enterprise EDU Perpetual License Upgrade for 1*NODE-Tier1</t>
  </si>
  <si>
    <t>AI-Stack Enterprise EDU SUMS Renewal,  1*NODE-Tier1, 1 year</t>
  </si>
  <si>
    <t>AI-Stack Enterprise EDU SUMS Renewal,  1*NODE-Tier2, 1 year</t>
  </si>
  <si>
    <t>AI-Stack Express EDU to Enterprise EDU Perpetual License Upgrade for 1*NODE-Tier2</t>
  </si>
  <si>
    <t>AI-Stack Enterprise EDU Perpetual License, 1*NODE-Tier2, 1 year SUMS</t>
  </si>
  <si>
    <t>AI-Stack Enterprise EDU Perpetual License, 1*NODE-Tier3, 1 year SUMS</t>
  </si>
  <si>
    <t>AI-Stack Enterprise EDU SUMS Renewal,  1*NODE-Tier3, 1 year</t>
  </si>
  <si>
    <t>AI-Stack Express EDU to Enterprise EDU Perpetual License Upgrade for 1*NODE-Tier3</t>
  </si>
  <si>
    <t>AI-Stack Express EDU Perpetual License, 1*NODE-Tier1, 1 year SUMS</t>
  </si>
  <si>
    <t>AI-Stack Express EDU SUMS Renewal,  1*NODE-Tier1, 1 year</t>
  </si>
  <si>
    <t>AI-Stack Express EDU Perpetual License, 1*NODE-Tier2, 1 year SUMS</t>
  </si>
  <si>
    <t>AI-Stack Express EDU SUMS Renewal,  1*NODE-Tier2, 1 year</t>
  </si>
  <si>
    <t>AI-Stack Express EDU Perpetual License, 1*NODE-Tier3, 1 year SUMS</t>
  </si>
  <si>
    <t>AI-Stack Express EDU SUMS Renewal,  1*NODE-Tier3, 1 year</t>
  </si>
  <si>
    <t>CEL-C0124-N</t>
  </si>
  <si>
    <t>CEL-C0136-N</t>
  </si>
  <si>
    <t>CEL-C0624-N</t>
  </si>
  <si>
    <t>CEL-C0636-N</t>
  </si>
  <si>
    <t>CEL-C1224-N</t>
  </si>
  <si>
    <t>CEL-C1236-N</t>
  </si>
  <si>
    <t>CloudFusion Enterprise Perpetual License, 6 CPUs, 2 years SUMS</t>
  </si>
  <si>
    <t>CloudFusion Enterprise Perpetual License, 6 CPUs, 3 years SUMS</t>
  </si>
  <si>
    <t>CloudFusion Enterprise Perpetual License, 12 CPUs, 2 years SUMS</t>
  </si>
  <si>
    <t>CloudFusion Enterprise Perpetual License, 12 CPUs, 3 years SUMS</t>
  </si>
  <si>
    <t>CloudFusion Enterprise Perpetual License, 1 CPU, 2 years SUMS</t>
  </si>
  <si>
    <t>CloudFusion Enterprise Perpetual License, 1 CPU, 3 years SUMS</t>
  </si>
  <si>
    <t>AI-Stack Express EDU Perpetual License, 1*GPU-Tier1, 2 years SUMS</t>
  </si>
  <si>
    <t>AI-Stack Express EDU Perpetual License, 1*NODE-Tier1, 2 years SUMS</t>
  </si>
  <si>
    <t>AI-Stack Express EDU Perpetual License, 1*GPU-Tier1, 3 years SUMS</t>
  </si>
  <si>
    <t>AI-Stack Express EDU Perpetual License, 1*NODE-Tier1, 3 years SUMS</t>
  </si>
  <si>
    <t>AI-Stack Express EDU Perpetual License, 1*GPU-Tier2, 2 years SUMS</t>
  </si>
  <si>
    <t>AI-Stack Express EDU Perpetual License, 1*NODE-Tier2, 2 years SUMS</t>
  </si>
  <si>
    <t>AI-Stack Express EDU Perpetual License, 1*GPU-Tier2, 3 years SUMS</t>
  </si>
  <si>
    <t>AI-Stack Express EDU Perpetual License, 1*NODE-Tier2, 3 years SUMS</t>
  </si>
  <si>
    <t>AI-Stack Express EDU Perpetual License, 1*GPU-Tier3, 2 years SUMS</t>
  </si>
  <si>
    <t>AI-Stack Express EDU Perpetual License, 1*NODE-Tier3, 2 years SUMS</t>
  </si>
  <si>
    <t>AI-Stack Express EDU Perpetual License, 1*GPU-Tier3, 3 years SUMS</t>
  </si>
  <si>
    <t>AI-Stack Express EDU Perpetual License, 1*NODE-Tier3, 3 years SUMS</t>
  </si>
  <si>
    <t>AI-Stack Enterprise EDU Perpetual License, 1*GPU-Tier1, 2 years SUMS</t>
  </si>
  <si>
    <t>AI-Stack Enterprise EDU Perpetual License, 1*NODE-Tier1, 2 years SUMS</t>
  </si>
  <si>
    <t>AI-Stack Enterprise EDU Perpetual License, 1*GPU-Tier1, 3 years SUMS</t>
  </si>
  <si>
    <t>AI-Stack Enterprise EDU Perpetual License, 1*NODE-Tier1, 3 years SUMS</t>
  </si>
  <si>
    <t>AI-Stack Enterprise EDU Perpetual License, 1*GPU-Tier2, 2 years SUMS</t>
  </si>
  <si>
    <t>AI-Stack Enterprise EDU Perpetual License, 1*NODE-Tier2, 2 years SUMS</t>
  </si>
  <si>
    <t>AI-Stack Enterprise EDU Perpetual License, 1*GPU-Tier2, 3 years SUMS</t>
  </si>
  <si>
    <t>AI-Stack Enterprise EDU Perpetual License, 1*NODE-Tier2, 3 years SUMS</t>
  </si>
  <si>
    <t>AI-Stack Enterprise EDU Perpetual License, 1*GPU-Tier3, 2 years SUMS</t>
  </si>
  <si>
    <t>AI-Stack Enterprise EDU Perpetual License, 1*NODE-Tier3, 2 years SUMS</t>
  </si>
  <si>
    <t>AI-Stack Enterprise EDU Perpetual License, 1*GPU-Tier3, 3 years SUMS</t>
  </si>
  <si>
    <t>AI-Stack Enterprise EDU Perpetual License, 1*NODE-Tier3, 3 years SUMS</t>
  </si>
  <si>
    <t>AI-Stack Enterprise Perpetual License, 1*GPU-Tier1, 2 years SUMS</t>
  </si>
  <si>
    <t>AI-Stack Enterprise Perpetual License, 1*NODE-Tier1, 2 years SUMS</t>
  </si>
  <si>
    <t>AI-Stack Enterprise Perpetual License, 1*GPU-Tier1, 3 years SUMS</t>
  </si>
  <si>
    <t>AI-Stack Enterprise Perpetual License, 1*GPU-Tier2, 2 years SUMS</t>
  </si>
  <si>
    <t>AI-Stack Enterprise Perpetual License, 1*NODE-Tier2, 2 years SUMS</t>
  </si>
  <si>
    <t>AI-Stack Enterprise Perpetual License, 1*GPU-Tier3, 2 years SUMS</t>
  </si>
  <si>
    <t>AI-Stack Enterprise Perpetual License, 1*NODE-Tier3, 2 years SUMS</t>
  </si>
  <si>
    <t>AI-Stack Enterprise Perpetual License, 1*GPU-Tier3, 3 years SUMS</t>
  </si>
  <si>
    <t>AI-Stack Enterprise Perpetual License, 1*NODE-Tier3, 3 years SUMS</t>
  </si>
  <si>
    <t>CEL-C0124-E</t>
  </si>
  <si>
    <t>CEL-C0136-E</t>
  </si>
  <si>
    <t>CEL-C0624-E</t>
  </si>
  <si>
    <t>CEL-C0636-E</t>
  </si>
  <si>
    <t>CEL-C1224-E</t>
  </si>
  <si>
    <t>CEL-C1236-E</t>
  </si>
  <si>
    <t>CloudFusion Enterprise EDU Perpetual License, 1 CPU, 2 years SUMS</t>
  </si>
  <si>
    <t>CloudFusion Enterprise EDU Perpetual License, 1 CPU, 3 years SUMS</t>
  </si>
  <si>
    <t>CloudFusion Enterprise EDU Perpetual License, 6 CPUs, 2 years SUMS</t>
  </si>
  <si>
    <t>CloudFusion Enterprise EDU Perpetual License, 6 CPUs, 3 years SUMS</t>
  </si>
  <si>
    <t>CloudFusion Enterprise EDU Perpetual License, 12 CPUs, 2 years SUMS</t>
  </si>
  <si>
    <t>CloudFusion Enterprise EDU Perpetual License, 12 CPUs, 3 years SUMS</t>
  </si>
  <si>
    <t>Tier</t>
  </si>
  <si>
    <t>1.All GPUs in the list are CUDA/ROCm-supported.
2.GPUs in the list are supported by Infinitix AI-Stack.
3.AI-Stack may work with GPUs not listed herein, but at users' oen risks.
4.Infinitix reserves the rights to modify this Tier Table with a 30-day notice. All changes will not be retrospectively applied.</t>
  </si>
  <si>
    <t>INFINITIX Distribution Terms and Conditions (中文版)</t>
  </si>
  <si>
    <t>軟體授權：提供客戶使用INFINITIX軟體的授權為不可出售、不可轉讓的權利，依個別CPU / GPU限制僅限約定預期的目的使用之，不可進行未經授權的修改或逆向工程。</t>
  </si>
  <si>
    <t>INFINITIX Distribution Terms and Conditions  (English Version)</t>
  </si>
  <si>
    <t>Perpetual licenses grant customers non-sellable, non-transferrable rights to use INFINITIX software, as is and for the intended purposes only, without unauthorized modifications or re-engineering, according to the respective CPU/GPU limits.</t>
  </si>
  <si>
    <t>Professional service by INFINITIX certified engineers (hereafter as "the Engineers") to select 4 (most frequently used) AI Frameworks for machine learning from the NVIDIA NGC (with the default templates including (1) Tensor Flow, (2) PyTorch, (3) MXNet, (4) Caffe, unless otherwise requested by the customers and agreed by the Engineers prior to the commencement of service) to package as Docker images uploaded as selectable templates accessible from the User Portal of AI-Stack, deliverable as a one-time service alongside software installation, training, or otherwise agreed by the Engineers as applicable. The customers should self-maintain the delivered templates when any framework/tool updates occurred and needed after the service. It is NOT guaranteed that all non-NVIDIA NGC Docker images can be fully supported.</t>
  </si>
  <si>
    <t xml:space="preserve">Professional service by INFINITIX certified engineers to hook up customers' existing storage solution(s) via NSF and/or S3 with CloudFusion or AI-Stack through necessary configurations. Support level via S3 depends upon the storage suppliers' specifications and limitations. INFINITIX does NOT guarantee full supportability for all S3-supported storage solutions.    </t>
  </si>
  <si>
    <t>Professional service by INFINITIX certified engineers to configure and adapt the customers' existing PAM/IdM/IdAM solutions (AD/LDAP or OpenID supported) with CloudFusion or AI-Stack. Once the service is completed, the customers' existing PAM/IdM/IdAM becomes the data source for the user identity and access management of CloudFusion/AI-Stack.</t>
  </si>
  <si>
    <t>REMOTE Training Service is a session-based one-time professional service provided by INFINITIX certified product experts or support engineers as Instructors (instructor number per session = 2) to provide product training VIA TELECONFERENCING SOFTWARE THROUGH IP NETWORK to the customers' software users and managers as Students (student number per session &lt;= 12) for the use and operation of the licensed INFINITIX products according to the standard guidelines of the User Training Manual (標準版用戶培訓手冊). The duration for each training service session should be 4 hours. The Instructors (suppliers of the training service) should provide a Zoom, or equivalent, video-recording meeting session with sufficient access for Students, unless otherwise provided by the customers/Students and agreed by the Instructors. The customers/Students should be responsible for the adequate Internet access and networked PCs/ Laptops suitable for attending and participating in the training sessions.</t>
  </si>
  <si>
    <t>ON-SITE Training Service is a session-based one-time professional service provided by INFINITIX certified product experts or support engineers as Instructors (instructor number per session = 2) to provide product training ON ONE OF THE CUSTOMER'S OR CUSTOMER-DESIGNATED PREMISES to the customers' software users and managers as Students (student number per session &lt;= 12) for the use and operation of the licensed INFINITIX products according to the standard guidelines of the User Training Manual (標準版用戶培訓手冊). The duration for each training service session should be 4 hours. The customers/Students should be responsible for the adequate training facility (unless otherwise agreed by the Instructors/supplier before the session), and the adequate Internet access and networked PCs/ Laptops suitable for participating in the training sessions. *Travel Expenses for the Instructors to provide on-site sessions are NOT included in List Price, and the coverage of expenses should be mutually agreed by the Instructors/supplier and the customers/Students before placing orders.</t>
  </si>
  <si>
    <t>Software Installation Service is a professional service by INFINITIX certified engineers to install INFINITIX products on-site (the customers' premises) or remotely through Internet connection. Fees are calculated by man days. *Travel Expenses for the Engineers to provide on-site service are NOT included, and the coverage of expenses should be mutually agreed by the suppler/Engineers and the customers before placing orders, and no later than the commencement of service.</t>
  </si>
  <si>
    <t>Customization &amp; Integration is a professional service by INFINITIX or certified engineers, architects, or product/project managers to customize INFINITIX products or integrate with the customers' existing systems, on-site (the customers' premises) or remotely. Fees are calculated by man days. *The SoW (Scope of Work for projects with fixed scopes or Statement of Work for time-and-materials) must be mutually assessed and agreed by the supplier (INFINITIX or authorized service providers) and the customers. *Travel Expenses for the Engineers to provide on-site service are NOT included in List Price, and the coverage of expenses should be mutually agreed by the suppler and the customers before placing orders, and no later than the commencement of service.</t>
  </si>
  <si>
    <t>Troubleshooting  On-Site  Service is a billable professional service done by INFINITIX or certified Support Engineers to provide on-site trouble-shooting, upgrade, and/or maintenance services for INFINITIX software on the Customer-designated premises in the main island of Taiwan (including but not limited to the Customer's datacenters hosting the licensed INFINITIX software, or the administrators' access endpoints connected to the Customers' Intranet, whichever situated outsides INFINITIX's or the certified Support Engineers' regular working locations), in response to requests by the Customers with legitimate proofs of purchase of INFINITIX software licenses, and under a valid coverage of effective software warranty (a.k.a. MA/SUMS) periods, due to the Customers' own technical, personnel, and/or managerial restrictions, while NOT liable to INFINITIX or her resellers, with any major product defects or service negligence. *Travel Expenses for INFINITIX or the certified Support Engineers to provide Troubleshooting On-Site service are NOT included in this  List Price.</t>
  </si>
  <si>
    <t>Email： support＠INFINITIX.com</t>
  </si>
  <si>
    <t>(12)</t>
    <phoneticPr fontId="10" type="noConversion"/>
  </si>
  <si>
    <t>#PSO-CTM*</t>
    <phoneticPr fontId="10" type="noConversion"/>
  </si>
  <si>
    <t>技術服務-AI框架樣板
設定服務</t>
    <phoneticPr fontId="10" type="noConversion"/>
  </si>
  <si>
    <t>技術服務-遠程培訓服務</t>
    <phoneticPr fontId="10" type="noConversion"/>
  </si>
  <si>
    <t>技術服務-帳號權控系統串接設定服務</t>
    <phoneticPr fontId="10" type="noConversion"/>
  </si>
  <si>
    <t>技術服務-客戶儲存系統掛載設定服務</t>
    <phoneticPr fontId="10" type="noConversion"/>
  </si>
  <si>
    <t>技術服務-現場培訓服務</t>
    <phoneticPr fontId="10" type="noConversion"/>
  </si>
  <si>
    <t>技術服務-軟體安裝服務</t>
    <phoneticPr fontId="10" type="noConversion"/>
  </si>
  <si>
    <t>技術服務-客製暨整合服務</t>
    <phoneticPr fontId="10" type="noConversion"/>
  </si>
  <si>
    <t>技術服務-人員到場服務</t>
    <phoneticPr fontId="10" type="noConversion"/>
  </si>
  <si>
    <t>技術服務-人員到場服務是指：購買合法授權且在保固期間之客戶，因其自身技術環境限制、人員或其他管理原因，且不可歸責於原廠或經銷商之產品瑕疵或過失遺漏等情況下，須由INFINITIX原廠、或經其認證的工程師，赴客戶指定之台灣本島內的客戶現場 (包含但不限於客戶承載授權軟體之數據中心，或客戶軟體管理人員之內部網絡接取點等所在，非原廠或其代理商工程師常規實施遠程服務之原廠或代理商工程師之日常工作地點者) 提供軟體保固、升級與排除異常等軟體維護服務。赴現客戶場現場提供服務之人員差旅費用不包括在本標價中。</t>
    <phoneticPr fontId="10" type="noConversion"/>
  </si>
  <si>
    <t>技術服務-客製暨整合服務指的是由INFINITIX或經過認證的工程師、架構師或產品/項目經理提供的專業服務，用於客製化INFINITIX產品或與客戶的現有系統（在現場（客戶的所在地）或遠端）進行整合。 費用按工作日(man day)計算。 * SoW（依固定範圍專案之工作說明書(Scope of Work)或按投入人時與資源結算計費(time and materials) 的工作規劃說明書(Statement of Work)）必須由供應商（INFINITIX或授權的服務提供商）和客戶共同評估合意。 *工程師提供現場服務的差旅費用不包括在標價中，並且差旅費用範圍與結算形式應由供應商和客戶在下訂單之前共同商定，商定合意最遲時點不得晚於本服務啟動之起始日。</t>
    <phoneticPr fontId="10" type="noConversion"/>
  </si>
  <si>
    <t>技術服務-軟體安裝服務是由INFINITIX認證的工程師提供的專業服務，以現場（客戶所在地）或透過網路連接遠程方式安裝INFINITIX產品。費用按工作日計算。 *不包括工程師提供現場服務的差旅費，費用範圍應由供應商/工程師和客戶在下訂單前共同商定，且不得遲於服務起始日。</t>
    <phoneticPr fontId="10" type="noConversion"/>
  </si>
  <si>
    <t>技術服務-現場培訓服務是以場次為單位計算的一次性專業服務，由INFINITIX認證的產品專家或維護工程師作為講師提供之（每節講師人數為2位），在客戶端或客戶指定的場所提供產品培訓。客戶的軟體使用者和管理者即學生（每節的學生人數以12人為上限）將根據《用戶培訓手冊》（標準版）的標準指南來使用和操作INFINITIX授權軟體。每次培訓服務時間應為4小時。客戶/學生應負責提供適當的培訓設施（除非講師/供應商在會前另有協議），客戶/學生應負責提供可順暢進行培訓的網路頻寬與登入權限，並提供可供參與者使用並可連網的個人電腦/筆記型電腦。 *指導員提供現場會議的差旅費用不包括在標價中，並且費用範圍應由指導員/供應商和客戶/學生在下訂單之前共同商定。</t>
    <phoneticPr fontId="10" type="noConversion"/>
  </si>
  <si>
    <t>技術服務-遠程培訓服務是以場次為單位計算的一次性專業服務，由INFINITIX認證的產品專家或維護工程師作為講師提供之（每節講師人數為2位），透過網路以電話會議軟體為媒介，提供客戶端軟體使用者和管理人員產品培訓。培訓內容將依據標準版用戶培訓手冊的標準指南，協助學生使用和操作INFINITIX授權軟體。每節課程的學生人數以12人為上限。每次培訓服務時間應為4小時。講師（培訓服務的提供者）應提供一次Zoom或等效的視頻錄製會議，讓學生有適當的登入權限，除非客戶/學生另行提供其他方式並經講師同意，得以其他軟體或媒介進行培訓。客戶/學生應負責提供可順暢進行培訓的網路頻寬與登入權限，並提供可供參與者使用並可連網的個人電腦/筆記型電腦。</t>
    <phoneticPr fontId="10" type="noConversion"/>
  </si>
  <si>
    <t>技術服務-帳號權控系統串接設定服務：因應客戶現有PAM / IdM / IdAM解決方案（支援AD / LDAP或OpenID），由INFINITIX認證的工程師提供專業服務，協助調整CloudFusion或AI-Stack配置。服務完成後，客戶現有的PAM / IdM / IdAM將成為CloudFusion / AI-Stack用戶身份和登入管理的資料來源。</t>
    <phoneticPr fontId="10" type="noConversion"/>
  </si>
  <si>
    <t>技術服務-客戶儲存系統掛載設定服務：由INFINITIX認證的工程師提供專業服務，透過必要的配置，以NSF和/或S3連接CloudFusion或AI-Stack與客戶現有的儲存解決方案。S3的支援程度取決於儲存方案供應商的規格與限制。INFINITIX不保證支援所有S3儲存解決方案。</t>
    <phoneticPr fontId="10" type="noConversion"/>
  </si>
  <si>
    <t>技術服務-AI框架樣板(Template, 或稱模板/樣本)設定服務：由INFINITIX認證的工程師（以下稱為“工程師”）提供的專業服務，從NVIDIA NGC中選擇4個（最常用的）AI框架進行機器學習（預設樣板包括（1）Tensor Flow、（2）PyTorch、（3）MXNet、（4）Caffe，除非客戶另有要求，並且在服務開始之前經過工程師的同意，方可提供包含在此範圍內），將Docker映像打包上傳為可從AI-Stack使用者登入系統中可供選擇的樣板，並以一次性服務方式和軟體安裝同時交付，該內容適用於培訓或其他經工程師同意的項目。服務交付後，若發生任何框架/工具更新需求，則客戶應自行維護交付的樣板。此項服務不保證可以完全支援所有非NVIDIA NGC Docker映像。</t>
    <phoneticPr fontId="10" type="noConversion"/>
  </si>
  <si>
    <t>Technical Services-AI Frameworks Template
Professional service</t>
    <phoneticPr fontId="10" type="noConversion"/>
  </si>
  <si>
    <t>Technical Services-Mount Storage Configuration 
Professional service</t>
    <phoneticPr fontId="10" type="noConversion"/>
  </si>
  <si>
    <t>Technical Services-PAM/IdM/IdAM Configuration Professional service</t>
    <phoneticPr fontId="10" type="noConversion"/>
  </si>
  <si>
    <t>Technical Services-REMOTE Training Service</t>
    <phoneticPr fontId="10" type="noConversion"/>
  </si>
  <si>
    <t>Technical Services-ON-SITE Training Service</t>
    <phoneticPr fontId="10" type="noConversion"/>
  </si>
  <si>
    <t>Technical Services-Software Installation Service</t>
    <phoneticPr fontId="10" type="noConversion"/>
  </si>
  <si>
    <t>Technical Services-Customization &amp; Integration professional service</t>
    <phoneticPr fontId="10" type="noConversion"/>
  </si>
  <si>
    <t>Technical Services-Troubleshooting  On-Site  Service</t>
    <phoneticPr fontId="10" type="noConversion"/>
  </si>
  <si>
    <t>首年</t>
    <phoneticPr fontId="10" type="noConversion"/>
  </si>
  <si>
    <t>第二年</t>
    <phoneticPr fontId="10" type="noConversion"/>
  </si>
  <si>
    <t>第三年</t>
    <phoneticPr fontId="10" type="noConversion"/>
  </si>
  <si>
    <t>第四年</t>
    <phoneticPr fontId="10" type="noConversion"/>
  </si>
  <si>
    <t>第五年</t>
    <phoneticPr fontId="10" type="noConversion"/>
  </si>
  <si>
    <t>軟體授權價格區間</t>
    <phoneticPr fontId="10" type="noConversion"/>
  </si>
  <si>
    <t>0–500,000</t>
  </si>
  <si>
    <t>1,500,000–3,000,000</t>
  </si>
  <si>
    <t>3,000,000–8,000,000</t>
  </si>
  <si>
    <t>8,000,000–20,000,000</t>
  </si>
  <si>
    <t>Above 20,000,000</t>
  </si>
  <si>
    <t>Software License Price Range</t>
  </si>
  <si>
    <t>維護服務</t>
    <phoneticPr fontId="10" type="noConversion"/>
  </si>
  <si>
    <t>Maintenance Service</t>
    <phoneticPr fontId="10" type="noConversion"/>
  </si>
  <si>
    <t>0~50萬</t>
    <phoneticPr fontId="10" type="noConversion"/>
  </si>
  <si>
    <t>2萬</t>
    <phoneticPr fontId="10" type="noConversion"/>
  </si>
  <si>
    <t>4萬</t>
    <phoneticPr fontId="10" type="noConversion"/>
  </si>
  <si>
    <t>6萬</t>
    <phoneticPr fontId="10" type="noConversion"/>
  </si>
  <si>
    <t>8萬</t>
    <phoneticPr fontId="10" type="noConversion"/>
  </si>
  <si>
    <t>10萬</t>
    <phoneticPr fontId="10" type="noConversion"/>
  </si>
  <si>
    <t>12萬</t>
    <phoneticPr fontId="10" type="noConversion"/>
  </si>
  <si>
    <t>16萬</t>
    <phoneticPr fontId="10" type="noConversion"/>
  </si>
  <si>
    <t>20萬</t>
    <phoneticPr fontId="10" type="noConversion"/>
  </si>
  <si>
    <t>150~300萬</t>
    <phoneticPr fontId="10" type="noConversion"/>
  </si>
  <si>
    <t>18萬</t>
    <phoneticPr fontId="10" type="noConversion"/>
  </si>
  <si>
    <t>24萬</t>
    <phoneticPr fontId="10" type="noConversion"/>
  </si>
  <si>
    <t>30萬</t>
    <phoneticPr fontId="10" type="noConversion"/>
  </si>
  <si>
    <t>300~800萬</t>
    <phoneticPr fontId="10" type="noConversion"/>
  </si>
  <si>
    <t>32萬</t>
    <phoneticPr fontId="10" type="noConversion"/>
  </si>
  <si>
    <t>40萬</t>
    <phoneticPr fontId="10" type="noConversion"/>
  </si>
  <si>
    <t>800~2000萬</t>
    <phoneticPr fontId="10" type="noConversion"/>
  </si>
  <si>
    <t>36萬</t>
    <phoneticPr fontId="10" type="noConversion"/>
  </si>
  <si>
    <t>48萬</t>
    <phoneticPr fontId="10" type="noConversion"/>
  </si>
  <si>
    <t>60萬</t>
    <phoneticPr fontId="10" type="noConversion"/>
  </si>
  <si>
    <t>2000萬以上</t>
    <phoneticPr fontId="10" type="noConversion"/>
  </si>
  <si>
    <t>80萬</t>
    <phoneticPr fontId="10" type="noConversion"/>
  </si>
  <si>
    <t>100萬</t>
    <phoneticPr fontId="10" type="noConversion"/>
  </si>
  <si>
    <t>1st Year</t>
    <phoneticPr fontId="10" type="noConversion"/>
  </si>
  <si>
    <t>2nd Year</t>
    <phoneticPr fontId="10" type="noConversion"/>
  </si>
  <si>
    <t>3rd Year</t>
    <phoneticPr fontId="10" type="noConversion"/>
  </si>
  <si>
    <t>4th Year</t>
    <phoneticPr fontId="10" type="noConversion"/>
  </si>
  <si>
    <t>5th Year</t>
    <phoneticPr fontId="10" type="noConversion"/>
  </si>
  <si>
    <t>授權內含(非續約)SUMS各年限價值對照表</t>
    <phoneticPr fontId="10" type="noConversion"/>
  </si>
  <si>
    <t xml:space="preserve">Annual Value Reference Table of SUMS Included in the licenses(Not Renewal) </t>
    <phoneticPr fontId="10" type="noConversion"/>
  </si>
  <si>
    <t>(2-1)授權內含維護服務：任何軟體授權的購買皆包含至少一年的原廠軟體更新、支援與維護訂閱服務（以下簡稱SUMS）。SUMS價值如下表：
(2-2)續約維護服務：軟體授權內含維護服務過期後，可另外加購SUMS服務，以取得產品更新、支援與維護，SUMS價格另議。</t>
    <phoneticPr fontId="10" type="noConversion"/>
  </si>
  <si>
    <t>(2-1)Maintenance Services Included in the licenses: The first year of Support, Updates and Maintenance Subscription (SUMS) is required as part of any purchase of licenses.
(2-2) Renewal of Maintenance Services: After the maintenance services included in the software license expire, additional SUMS services can be purchased to obtain product updates, support, and maintenance. The pricing for SUMS is subject to further negotiation.</t>
    <phoneticPr fontId="10" type="noConversion"/>
  </si>
  <si>
    <r>
      <rPr>
        <b/>
        <u/>
        <sz val="12"/>
        <color rgb="FF000000"/>
        <rFont val="Calibri"/>
        <family val="2"/>
      </rPr>
      <t>NVIDIA:</t>
    </r>
    <r>
      <rPr>
        <b/>
        <u/>
        <sz val="10"/>
        <color rgb="FF000000"/>
        <rFont val="Calibri"/>
        <family val="2"/>
      </rPr>
      <t xml:space="preserve">
Telsa:</t>
    </r>
    <r>
      <rPr>
        <sz val="10"/>
        <color rgb="FF000000"/>
        <rFont val="Calibri"/>
        <family val="2"/>
      </rPr>
      <t xml:space="preserve">
B200, B100, H200, H100
</t>
    </r>
    <r>
      <rPr>
        <b/>
        <u/>
        <sz val="12"/>
        <color rgb="FF000000"/>
        <rFont val="Calibri"/>
        <family val="2"/>
      </rPr>
      <t>AMD:</t>
    </r>
    <r>
      <rPr>
        <b/>
        <u/>
        <sz val="10"/>
        <color rgb="FF000000"/>
        <rFont val="Calibri"/>
        <family val="2"/>
      </rPr>
      <t xml:space="preserve">
Instinct:
</t>
    </r>
    <r>
      <rPr>
        <sz val="10"/>
        <color rgb="FF000000"/>
        <rFont val="Calibri"/>
        <family val="2"/>
      </rPr>
      <t>MI325X, MI300X, MI300A</t>
    </r>
  </si>
  <si>
    <r>
      <rPr>
        <b/>
        <u/>
        <sz val="12"/>
        <color rgb="FF000000"/>
        <rFont val="Calibri"/>
        <family val="2"/>
      </rPr>
      <t>NVIDIA:</t>
    </r>
    <r>
      <rPr>
        <b/>
        <u/>
        <sz val="10"/>
        <color rgb="FF000000"/>
        <rFont val="Calibri"/>
        <family val="2"/>
      </rPr>
      <t xml:space="preserve">
Tesla:</t>
    </r>
    <r>
      <rPr>
        <sz val="10"/>
        <color rgb="FF000000"/>
        <rFont val="Calibri"/>
        <family val="2"/>
      </rPr>
      <t xml:space="preserve">
A100, V100
</t>
    </r>
    <r>
      <rPr>
        <b/>
        <u/>
        <sz val="10"/>
        <color rgb="FF000000"/>
        <rFont val="Calibri"/>
        <family val="2"/>
      </rPr>
      <t>Quodra:</t>
    </r>
    <r>
      <rPr>
        <sz val="10"/>
        <color rgb="FF000000"/>
        <rFont val="Calibri"/>
        <family val="2"/>
      </rPr>
      <t xml:space="preserve">
6000 Ada, 5880 Ada, 5000 Ada, L40S, L40
</t>
    </r>
    <r>
      <rPr>
        <b/>
        <u/>
        <sz val="12"/>
        <color rgb="FF000000"/>
        <rFont val="Calibri"/>
        <family val="2"/>
      </rPr>
      <t>AMD:</t>
    </r>
    <r>
      <rPr>
        <b/>
        <u/>
        <sz val="10"/>
        <color rgb="FF000000"/>
        <rFont val="Calibri"/>
        <family val="2"/>
      </rPr>
      <t xml:space="preserve">
Instinct:
</t>
    </r>
    <r>
      <rPr>
        <sz val="10"/>
        <color rgb="FF000000"/>
        <rFont val="Calibri"/>
        <family val="2"/>
      </rPr>
      <t>MI250X, MI250, MI210</t>
    </r>
  </si>
  <si>
    <r>
      <rPr>
        <b/>
        <u/>
        <sz val="12"/>
        <color rgb="FF000000"/>
        <rFont val="Calibri"/>
        <family val="2"/>
      </rPr>
      <t>NVIDIA:</t>
    </r>
    <r>
      <rPr>
        <b/>
        <u/>
        <sz val="10"/>
        <color rgb="FF000000"/>
        <rFont val="Calibri"/>
        <family val="2"/>
      </rPr>
      <t xml:space="preserve">
Tesla:</t>
    </r>
    <r>
      <rPr>
        <sz val="10"/>
        <color rgb="FF000000"/>
        <rFont val="Calibri"/>
        <family val="2"/>
      </rPr>
      <t xml:space="preserve">
L4, A2, A10, A16, A30, A40, A400
</t>
    </r>
    <r>
      <rPr>
        <b/>
        <u/>
        <sz val="10"/>
        <color rgb="FF000000"/>
        <rFont val="Calibri"/>
        <family val="2"/>
      </rPr>
      <t>Quadro:</t>
    </r>
    <r>
      <rPr>
        <sz val="10"/>
        <color rgb="FF000000"/>
        <rFont val="Calibri"/>
        <family val="2"/>
      </rPr>
      <t xml:space="preserve">
2000 Ada, 4000 Ada, 4500 Ada, A1000, A2000, A4000, A4500, A5000, A5500, A6000, RTX 4000, RTX 5000, RTX 6000, RTX 8000, T4, T400, T600, T1000, P100, P400, P600, P620, P1000, P2000, P2200, P4000, P5000, P6000, GP100, GV100
</t>
    </r>
    <r>
      <rPr>
        <b/>
        <u/>
        <sz val="10"/>
        <color rgb="FF000000"/>
        <rFont val="Calibri"/>
        <family val="2"/>
      </rPr>
      <t>GeForce:</t>
    </r>
    <r>
      <rPr>
        <sz val="10"/>
        <color rgb="FF000000"/>
        <rFont val="Calibri"/>
        <family val="2"/>
      </rPr>
      <t xml:space="preserve">
RTX 5090, RTX 5090 D, RTX 5080, RTX 5070, RTX 5070 Ti, RTX 4090, RTX 4090 D, RTX 4080, RTX 4080 Super, RTX 4070, RTX 4070 Super, RTX 4070 Ti, RTX 4070 Ti Super, RTX 4060, RTX 4060 Ti, RTX 3090, RTX 3090 Ti, RTX 3080, RTX 3080 Ti, RTX 3070, RTX 3070 Ti, RTX 3060, RTX 3060 TI, RTX 3050, RTX 2080, RTX 2080 Super, RTX 2080 TI, RTX 2070, RTX 2070 Super, RTX 2060, RTX 2060 Super, TITAN RTX
</t>
    </r>
    <r>
      <rPr>
        <b/>
        <u/>
        <sz val="12"/>
        <color rgb="FF000000"/>
        <rFont val="Calibri"/>
        <family val="2"/>
      </rPr>
      <t>AMD:</t>
    </r>
    <r>
      <rPr>
        <b/>
        <u/>
        <sz val="10"/>
        <color rgb="FF000000"/>
        <rFont val="Calibri"/>
        <family val="2"/>
      </rPr>
      <t xml:space="preserve">
Instinct:
</t>
    </r>
    <r>
      <rPr>
        <sz val="10"/>
        <color rgb="FF000000"/>
        <rFont val="Calibri"/>
        <family val="2"/>
      </rPr>
      <t xml:space="preserve">MI100, MI60
</t>
    </r>
    <r>
      <rPr>
        <b/>
        <u/>
        <sz val="10"/>
        <color rgb="FF000000"/>
        <rFont val="Calibri"/>
        <family val="2"/>
      </rPr>
      <t>Radeon:</t>
    </r>
    <r>
      <rPr>
        <b/>
        <sz val="10"/>
        <color rgb="FF000000"/>
        <rFont val="Calibri"/>
        <family val="2"/>
      </rPr>
      <t xml:space="preserve">
</t>
    </r>
    <r>
      <rPr>
        <sz val="10"/>
        <color rgb="FF000000"/>
        <rFont val="Calibri"/>
        <family val="2"/>
      </rPr>
      <t>RX 7900 XTX, RX 7900 XT, RX 7900 GRE, RX 7800 XT, RX 7700 XT, RX 7600 XT, RX 7600, RX 6950 XT, RX 6900 XT, RX 6800 XT, RX 6800, RX 6750 XT, RX 6750 GRE, RX 6700 XT, RX 6700, RX 6650 XT, RX 6600 XT, RX 6600, RX 6500 XT, RX 6400, RX 6300, RX 5700 XT, RX 5700, RX 5600 TX, RX 5600, RX 5500 XT, RX 5500, RX 5300 XT, RX 5300</t>
    </r>
  </si>
  <si>
    <t>All prices without taxes</t>
  </si>
  <si>
    <t>AI-Stack Enterprise Subscription for Commercial</t>
  </si>
  <si>
    <t>Product</t>
  </si>
  <si>
    <t>List Price (TWD)</t>
  </si>
  <si>
    <t>List Price (USD)</t>
  </si>
  <si>
    <t>AEL-G1112-C-S</t>
  </si>
  <si>
    <t>AI-Stack Enterprise Subscription, 1*GPU-Tier1, 1 year SUMS</t>
  </si>
  <si>
    <t>AI-Stack Enterprise SW Subscription GPU</t>
  </si>
  <si>
    <t>AEL-D1812-C-S</t>
  </si>
  <si>
    <t>AI-Stack Enterprise Subscription, 1*NODE-Tier1, 1 year SUMS</t>
  </si>
  <si>
    <t>AEL-G1124-C-S</t>
  </si>
  <si>
    <t>AI-Stack Enterprise Subscription, 1*GPU-Tier1, 2 years SUMS</t>
  </si>
  <si>
    <t>AEL-D1824-C-S</t>
  </si>
  <si>
    <t>AI-Stack Enterprise Subscription, 1*NODE-Tier1, 2 years SUMS</t>
  </si>
  <si>
    <t>AEL-G1136-C-S</t>
  </si>
  <si>
    <t>AI-Stack Enterprise Subscription, 1*GPU-Tier1, 3 years SUMS</t>
  </si>
  <si>
    <t>AEL-D1836-C-S</t>
  </si>
  <si>
    <t>AI-Stack Enterprise Subscription, 1*NODE-Tier1, 3 years SUMS</t>
  </si>
  <si>
    <t>AEU-G1100-C-S</t>
  </si>
  <si>
    <t>AI-Stack Express to Enterprise Subscription Upgrade for 1*GPU-Tier1</t>
  </si>
  <si>
    <t>Express-to-Enterprise Upgrade GPU</t>
  </si>
  <si>
    <t>AEU-D1800-C-S</t>
  </si>
  <si>
    <t>AI-Stack Express to Enterprise Subscription Upgrade for 1*NODE-Tier1</t>
  </si>
  <si>
    <t>AEL-G2112-C-S</t>
  </si>
  <si>
    <t>AI-Stack Enterprise Subscription, 1*GPU-Tier2, 1 year SUMS</t>
  </si>
  <si>
    <t>AEL-D2812-C-S</t>
  </si>
  <si>
    <t>AI-Stack Enterprise Subscription, 1*NODE-Tier2, 1 year SUMS</t>
  </si>
  <si>
    <t>AEL-G2124-C-S</t>
  </si>
  <si>
    <t>AI-Stack Enterprise Subscription, 1*GPU-Tier2, 2 years SUMS</t>
  </si>
  <si>
    <t>AEL-D2824-C-S</t>
  </si>
  <si>
    <t>AI-Stack Enterprise Subscription, 1*NODE-Tier2, 2 years SUMS</t>
  </si>
  <si>
    <t>AEL-G2136-C-S</t>
  </si>
  <si>
    <t>AI-Stack Enterprise Subscription, 1*GPU-Tier2, 3 years SUMS</t>
  </si>
  <si>
    <t>AEL-D2836-C-S</t>
  </si>
  <si>
    <t>AI-Stack Enterprise Subscription, 1*NODE-Tier2, 3 years SUMS</t>
  </si>
  <si>
    <t>AEU-G2100-C-S</t>
  </si>
  <si>
    <t>AI-Stack Express to Enterprise Subscription Upgrade for 1*GPU-Tier2</t>
  </si>
  <si>
    <t>AEU-D2800-C-S</t>
  </si>
  <si>
    <t>AI-Stack Express to Enterprise Subscription Upgrade for 1*NODE-Tier2</t>
  </si>
  <si>
    <t>AEL-G3112-C-S</t>
  </si>
  <si>
    <t>AI-Stack Enterprise Subscription, 1*GPU-Tier3, 1 year SUMS</t>
  </si>
  <si>
    <t>AEL-D3812-C-S</t>
  </si>
  <si>
    <t>AI-Stack Enterprise Subscription, 1*NODE-Tier3, 1 year SUMS</t>
  </si>
  <si>
    <t>AEL-G3124-C-S</t>
  </si>
  <si>
    <t>AI-Stack Enterprise Subscription, 1*GPU-Tier3, 2 years SUMS</t>
  </si>
  <si>
    <t>AEL-D3824-C-S</t>
  </si>
  <si>
    <t>AI-Stack Enterprise Subscription, 1*NODE-Tier3, 2 years SUMS</t>
  </si>
  <si>
    <t>AEL-G3136-C-S</t>
  </si>
  <si>
    <t>AI-Stack Enterprise Subscription, 1*GPU-Tier3, 3 years SUMS</t>
  </si>
  <si>
    <t>AEL-D3836-C-S</t>
  </si>
  <si>
    <t>AI-Stack Enterprise Subscription, 1*NODE-Tier3, 3 years SUMS</t>
  </si>
  <si>
    <t>AEU-G3100-C-S</t>
  </si>
  <si>
    <t>AI-Stack Express to Enterprise Subscription Upgrade for 1*GPU-Tier3</t>
  </si>
  <si>
    <t>AEU-D3800-C-S</t>
  </si>
  <si>
    <t>AI-Stack Express to Enterprise Subscription Upgrade for 1*NODE-Tier3</t>
  </si>
  <si>
    <t>AI-Stack Express Subscription for Commercial</t>
  </si>
  <si>
    <t>AXL-G1112-C-S</t>
  </si>
  <si>
    <t>AI-Stack Express</t>
  </si>
  <si>
    <t>AI-Stack Express Subscription, 1*GPU-Tier1, 1 year SUMS</t>
  </si>
  <si>
    <t>AI-Stack Express SW Subscription GPU</t>
  </si>
  <si>
    <t>AXL-D1812-C-S</t>
  </si>
  <si>
    <t>AI-Stack Express Subscription, 1*NODE-Tier1, 1 year SUMS</t>
  </si>
  <si>
    <t>AXL-G1124-C-S</t>
  </si>
  <si>
    <t>AI-Stack Express Subscription, 1*GPU-Tier1, 2 year SUMS</t>
  </si>
  <si>
    <t>AXL-D1824-C-S</t>
  </si>
  <si>
    <t>AI-Stack Express Subscription, 1*NODE-Tier1, 2 year SUMS</t>
  </si>
  <si>
    <t>AXL-G1136-C-S</t>
  </si>
  <si>
    <t>AI-Stack Express Subscription, 1*GPU-Tier1, 3 year SUMS</t>
  </si>
  <si>
    <t>AXL-D1836-C-S</t>
  </si>
  <si>
    <t>AI-Stack Express Subscription, 1*NODE-Tier1, 3 year SUMS</t>
  </si>
  <si>
    <t>AXL-G2112-C-S</t>
  </si>
  <si>
    <t>AI-Stack Express Subscription, 1*GPU-Tier2, 1 year SUMS</t>
  </si>
  <si>
    <t>AXL-D2812-C-S</t>
  </si>
  <si>
    <t>AI-Stack Express Subscription, 1*NODE-Tier2, 1 year SUMS</t>
  </si>
  <si>
    <t>AXL-G2124-C-S</t>
  </si>
  <si>
    <t>AI-Stack Express Subscription, 1*GPU-Tier2, 2 year SUMS</t>
  </si>
  <si>
    <t>AXL-D2824-C-S</t>
  </si>
  <si>
    <t>AI-Stack Express Subscription, 1*NODE-Tier2, 2 year SUMS</t>
  </si>
  <si>
    <t>AXL-G2136-C-S</t>
  </si>
  <si>
    <t>AI-Stack Express Subscription, 1*GPU-Tier2, 3 year SUMS</t>
  </si>
  <si>
    <t>AXL-D2836-C-S</t>
  </si>
  <si>
    <t>AI-Stack Express Subscription, 1*NODE-Tier2, 3 year SUMS</t>
  </si>
  <si>
    <t>AXL-G3112-C-S</t>
  </si>
  <si>
    <t>AI-Stack Express Subscription, 1*GPU-Tier3, 1 year SUMS</t>
  </si>
  <si>
    <t>AXL-D3812-C-S</t>
  </si>
  <si>
    <t>AI-Stack Express Subscription, 1*NODE-Tier3, 1 year SUMS</t>
  </si>
  <si>
    <t>AXL-G3124-C-S</t>
  </si>
  <si>
    <t>AI-Stack Express Subscription, 1*GPU-Tier3, 2 year SUMS</t>
  </si>
  <si>
    <t>AXL-D3824-C-S</t>
  </si>
  <si>
    <t>AI-Stack Express Subscription, 1*NODE-Tier3, 2 year SUMS</t>
  </si>
  <si>
    <t>AXL-G3136-C-S</t>
  </si>
  <si>
    <t>AI-Stack Express Subscription, 1*GPU-Tier3, 3 year SUMS</t>
  </si>
  <si>
    <t>AXL-D3836-C-S</t>
  </si>
  <si>
    <t>AI-Stack Express Subscription, 1*NODE-Tier3, 3 year SUMS</t>
  </si>
  <si>
    <t>AI-Stack Enterprise Perpetual License for Commercial</t>
  </si>
  <si>
    <t>AEL-G1112-C-P</t>
  </si>
  <si>
    <t>AEL-D1812-C-P</t>
  </si>
  <si>
    <t>AEL-G1124-C-P</t>
  </si>
  <si>
    <t>AEL-D1824-C-P</t>
  </si>
  <si>
    <t>AEL-G1136-C-P</t>
  </si>
  <si>
    <t>AER-G1112-C-P</t>
  </si>
  <si>
    <t>AER-D1812-C-P</t>
  </si>
  <si>
    <t>AEU-G1100-C-P</t>
  </si>
  <si>
    <t>AEU-D1800-C-P</t>
  </si>
  <si>
    <t>AEL-G2112-C-P</t>
  </si>
  <si>
    <t>AEL-D2812-C-P</t>
  </si>
  <si>
    <t>AEL-G2124-C-P</t>
  </si>
  <si>
    <t>AEL-D2824-C-P</t>
  </si>
  <si>
    <t>AER-G2112-C-P</t>
  </si>
  <si>
    <t>AER-D2812-C-P</t>
  </si>
  <si>
    <t>AEU-G2100-C-P</t>
  </si>
  <si>
    <t>AEU-D2800-C-P</t>
  </si>
  <si>
    <t>AEL-G3112-C-P</t>
  </si>
  <si>
    <t>AEL-D3812-C-P</t>
  </si>
  <si>
    <t>AEL-G3124-C-P</t>
  </si>
  <si>
    <t>AEL-D3824-C-P</t>
  </si>
  <si>
    <t>AEL-G3136-C-P</t>
  </si>
  <si>
    <t>AEL-D3836-C-P</t>
  </si>
  <si>
    <t>AER-G3112-C-P</t>
  </si>
  <si>
    <t>AER-D3812-C-P</t>
  </si>
  <si>
    <t>AEU-G3100-C-P</t>
  </si>
  <si>
    <t>AEU-D3800-C-P</t>
  </si>
  <si>
    <t>AI-Stack Express Perpetual License for Commercial</t>
  </si>
  <si>
    <t>AXL-G1112-C-P</t>
  </si>
  <si>
    <t>AXL-D1812-C-P</t>
  </si>
  <si>
    <t>AXL-G1124-C-P</t>
  </si>
  <si>
    <t>AXL-D1824-C-P</t>
  </si>
  <si>
    <t>AXL-G1136-C-P</t>
  </si>
  <si>
    <t>AXL-D1836-C-P</t>
  </si>
  <si>
    <t>AXR-G1112-C-P</t>
  </si>
  <si>
    <t>AXR-D0812-C-P</t>
  </si>
  <si>
    <t>AXL-G2112-C-P</t>
  </si>
  <si>
    <t>AXL-D2812-C-P</t>
  </si>
  <si>
    <t>AXL-G2124-C-P</t>
  </si>
  <si>
    <t>AXL-D2824-C-P</t>
  </si>
  <si>
    <t>AXL-G2136-C-P</t>
  </si>
  <si>
    <t>AXL-D2836-C-P</t>
  </si>
  <si>
    <t>AXR-G2112-C-P</t>
  </si>
  <si>
    <t>AXR-D2812-C-P</t>
  </si>
  <si>
    <t>AXL-G3112-C-P</t>
  </si>
  <si>
    <t>AXL-D3812-C-P</t>
  </si>
  <si>
    <t>AXL-G3124-C-P</t>
  </si>
  <si>
    <t>AXL-D3824-C-P</t>
  </si>
  <si>
    <t>AXL-G3136-C-P</t>
  </si>
  <si>
    <t>AXL-D3836-C-P</t>
  </si>
  <si>
    <t>AXR-G3112-C-P</t>
  </si>
  <si>
    <t>AXR-D3812-C-P</t>
  </si>
  <si>
    <t>Price for Distributor (TWD)</t>
  </si>
  <si>
    <t>Price for Distributor (USD)</t>
  </si>
  <si>
    <t>數位無限教育版軟體優惠授權及其相關的軟體保固(MA/SUMS) ，僅售予教育部全球資訊網所認定之各級學校及合格之非盈利教育機構  ，及中央或地方政府教育主管機關為提供各級學校使用之統籌計劃，用於非屬營利目的之教學、研究、及其他支持教育目的相關之師生與教職人員之使用，不得另行轉售。任何商業或以營利為目的之用途均不得安裝與使用。</t>
  </si>
  <si>
    <t>AI-Stack Enterprise Perpetual License for Education</t>
  </si>
  <si>
    <t>AI-Stack Express Perpetual License for Education</t>
  </si>
  <si>
    <t>AEL-G1112-E-P</t>
  </si>
  <si>
    <t>AEL-D1812-E-P</t>
  </si>
  <si>
    <t>AEL-G1124-E-P</t>
  </si>
  <si>
    <t>AEL-D1824-E-P</t>
  </si>
  <si>
    <t>AEL-G1136-E-P</t>
  </si>
  <si>
    <t>AEL-D1836-E-P</t>
  </si>
  <si>
    <t>AER-G1112-E-P</t>
  </si>
  <si>
    <t>AER-D1812-E-P</t>
  </si>
  <si>
    <t>AEU-G1100-E-P</t>
  </si>
  <si>
    <t>AEU-D1800-E-P</t>
  </si>
  <si>
    <t>AEL-G2112-E-P</t>
  </si>
  <si>
    <t>AEL-D2812-E-P</t>
  </si>
  <si>
    <t>AEL-G2124-E-P</t>
  </si>
  <si>
    <t>AEL-D2824-E-P</t>
  </si>
  <si>
    <t>AEL-G2136-E-P</t>
  </si>
  <si>
    <t>AEL-D2836-E-P</t>
  </si>
  <si>
    <t>AER-G2112-E-P</t>
  </si>
  <si>
    <t>AER-D2812-E-P</t>
  </si>
  <si>
    <t>AEU-G2100-E-P</t>
  </si>
  <si>
    <t>AEU-D2800-E-P</t>
  </si>
  <si>
    <t>AEL-G3112-E-P</t>
  </si>
  <si>
    <t>AEL-D3812-E-P</t>
  </si>
  <si>
    <t>AEL-G3124-E-P</t>
  </si>
  <si>
    <t>AEL-D3824-E-P</t>
  </si>
  <si>
    <t>AEL-G3136-E-P</t>
  </si>
  <si>
    <t>AEL-D3836-E-P</t>
  </si>
  <si>
    <t>AER-G3112-E-P</t>
  </si>
  <si>
    <t>AER-D3812-E-P</t>
  </si>
  <si>
    <t>AEU-G3100-E-P</t>
  </si>
  <si>
    <t>AEU-D3800-E-P</t>
  </si>
  <si>
    <t>AXL-G1112-E-P</t>
  </si>
  <si>
    <t>AXL-D1812-E-P</t>
  </si>
  <si>
    <t>AXL-G1124-E-P</t>
  </si>
  <si>
    <t>AXL-D1824-E-P</t>
  </si>
  <si>
    <t>AXL-G1136-E-P</t>
  </si>
  <si>
    <t>AXL-D1836-E-P</t>
  </si>
  <si>
    <t>AXR-G1112-E-P</t>
  </si>
  <si>
    <t>AXR-D1812-E-P</t>
  </si>
  <si>
    <t>AXL-G2112-E-P</t>
  </si>
  <si>
    <t>AXL-D2812-E-P</t>
  </si>
  <si>
    <t>AXL-G2124-E-P</t>
  </si>
  <si>
    <t>AXL-D2824-E-P</t>
  </si>
  <si>
    <t>AXL-G2136-E-P</t>
  </si>
  <si>
    <t>AXL-D2836-E-P</t>
  </si>
  <si>
    <t>AXR-G2112-E-P</t>
  </si>
  <si>
    <t>AXR-D2812-E-P</t>
  </si>
  <si>
    <t>AXL-G3112-E-P</t>
  </si>
  <si>
    <t>AXL-D3812-E-P</t>
  </si>
  <si>
    <t>AXL-G3124-E-P</t>
  </si>
  <si>
    <t>AXL-D3824-E-P</t>
  </si>
  <si>
    <t>AXL-G3136-E-P</t>
  </si>
  <si>
    <t>AXL-D3836-E-P</t>
  </si>
  <si>
    <t>AXR-G3112-E-P</t>
  </si>
  <si>
    <t>AXR-D3812-E-P</t>
  </si>
  <si>
    <t>AI-Stack Enterprise Subscription for Education</t>
  </si>
  <si>
    <t>AI-Stack Enterprise EDU Subscription, 1*GPU-Tier1, 1 year SUMS</t>
  </si>
  <si>
    <t>AI-Stack Enterprise EDU Subscription, 1*NODE-Tier1, 1 year SUMS</t>
  </si>
  <si>
    <t>AI-Stack Enterprise EDU Subscription, 1*GPU-Tier1, 2 years SUMS</t>
  </si>
  <si>
    <t>AI-Stack Enterprise EDU Subscription, 1*NODE-Tier1, 2 years SUMS</t>
  </si>
  <si>
    <t>AI-Stack Enterprise EDU Subscription, 1*GPU-Tier1, 3 years SUMS</t>
  </si>
  <si>
    <t>AI-Stack Enterprise EDU Subscription, 1*NODE-Tier1, 3 years SUMS</t>
  </si>
  <si>
    <t>AI-Stack Express EDU to Enterprise EDU Subscription Upgrade for 1*GPU-Tier1</t>
  </si>
  <si>
    <t>AI-Stack Express EDU to Enterprise EDU Subscription Upgrade for 1*NODE-Tier1</t>
  </si>
  <si>
    <t>AI-Stack Enterprise EDU Subscription, 1*GPU-Tier2, 1 year SUMS</t>
  </si>
  <si>
    <t>AI-Stack Enterprise EDU Subscription, 1*NODE-Tier2, 1 year SUMS</t>
  </si>
  <si>
    <t>AI-Stack Enterprise EDU Subscription, 1*GPU-Tier2, 2 years SUMS</t>
  </si>
  <si>
    <t>AI-Stack Enterprise EDU Subscription, 1*NODE-Tier2, 2 years SUMS</t>
  </si>
  <si>
    <t>AI-Stack Enterprise EDU Subscription, 1*GPU-Tier2, 3 years SUMS</t>
  </si>
  <si>
    <t>AI-Stack Enterprise EDU Subscription, 1*NODE-Tier2, 3 years SUMS</t>
  </si>
  <si>
    <t>AI-Stack Express EDU to Enterprise EDU Subscription Upgrade for 1*GPU-Tier2</t>
  </si>
  <si>
    <t>AI-Stack Express EDU to Enterprise EDU Subscription Upgrade for 1*NODE-Tier2</t>
  </si>
  <si>
    <t>AI-Stack Enterprise EDU Subscription, 1*GPU-Tier3, 1 year SUMS</t>
  </si>
  <si>
    <t>AI-Stack Enterprise EDU Subscription, 1*NODE-Tier3, 1 year SUMS</t>
  </si>
  <si>
    <t>AI-Stack Enterprise EDU Subscription, 1*GPU-Tier3, 2 years SUMS</t>
  </si>
  <si>
    <t>AI-Stack Enterprise EDU Subscription, 1*NODE-Tier3, 2 years SUMS</t>
  </si>
  <si>
    <t>AI-Stack Enterprise EDU Subscription, 1*GPU-Tier3, 3 years SUMS</t>
  </si>
  <si>
    <t>AI-Stack Enterprise EDU Subscription, 1*NODE-Tier3, 3 years SUMS</t>
  </si>
  <si>
    <t>AI-Stack Express EDU to Enterprise EDU Subscription Upgrade for 1*GPU-Tier3</t>
  </si>
  <si>
    <t>AI-Stack Express EDU to Enterprise EDU Subscription Upgrade for 1*NODE-Tier3</t>
  </si>
  <si>
    <t>AI-Stack Express Subscription for Education</t>
  </si>
  <si>
    <t>AI-Stack Express EDU Subscription, 1*GPU-Tier1, 1 year SUMS</t>
  </si>
  <si>
    <t>AI-Stack Express EDU Subscription, 1*NODE-Tier1, 1 year SUMS</t>
  </si>
  <si>
    <t>AI-Stack Express EDU Subscription, 1*GPU-Tier1, 2 years SUMS</t>
  </si>
  <si>
    <t>AI-Stack Express EDU Subscription, 1*NODE-Tier1, 2 years SUMS</t>
  </si>
  <si>
    <t>AI-Stack Express EDU Subscription, 1*GPU-Tier1, 3 years SUMS</t>
  </si>
  <si>
    <t>AI-Stack Express EDU Subscription, 1*NODE-Tier1, 3 years SUMS</t>
  </si>
  <si>
    <t>AI-Stack Express EDU Subscription, 1*GPU-Tier2, 1 year SUMS</t>
  </si>
  <si>
    <t>AI-Stack Express EDU Subscription, 1*NODE-Tier2, 1 year SUMS</t>
  </si>
  <si>
    <t>AI-Stack Express EDU Subscription, 1*GPU-Tier2, 2 years SUMS</t>
  </si>
  <si>
    <t>AI-Stack Express EDU Subscription, 1*NODE-Tier2, 2 years SUMS</t>
  </si>
  <si>
    <t>AI-Stack Express EDU Subscription, 1*GPU-Tier2, 3 years SUMS</t>
  </si>
  <si>
    <t>AI-Stack Express EDU Subscription, 1*NODE-Tier2, 3 years SUMS</t>
  </si>
  <si>
    <t>AI-Stack Express EDU Subscription, 1*GPU-Tier3, 1 year SUMS</t>
  </si>
  <si>
    <t>AI-Stack Express EDU Subscription, 1*NODE-Tier3, 1 year SUMS</t>
  </si>
  <si>
    <t>AI-Stack Express EDU Subscription, 1*GPU-Tier3, 2 years SUMS</t>
  </si>
  <si>
    <t>AI-Stack Express EDU Subscription, 1*NODE-Tier3, 2 years SUMS</t>
  </si>
  <si>
    <t>AI-Stack Express EDU Subscription, 1*GPU-Tier3, 3 years SUMS</t>
  </si>
  <si>
    <t>AI-Stack Express EDU Subscription, 1*NODE-Tier3, 3 years SUMS</t>
  </si>
  <si>
    <t>AEL-G1112-E-S</t>
  </si>
  <si>
    <t>AEL-D1812-E-S</t>
  </si>
  <si>
    <t>AEL-G1124-E-S</t>
  </si>
  <si>
    <t>AEL-D1824-E-S</t>
  </si>
  <si>
    <t>AEL-G1136-E-S</t>
  </si>
  <si>
    <t>AEL-D1836-E-S</t>
  </si>
  <si>
    <t>AEU-G1100-E-S</t>
  </si>
  <si>
    <t>AEU-D1800-E-S</t>
  </si>
  <si>
    <t>AEL-G2112-E-S</t>
  </si>
  <si>
    <t>AEL-D2812-E-S</t>
  </si>
  <si>
    <t>AEL-G2124-E-S</t>
  </si>
  <si>
    <t>AEL-D2824-E-S</t>
  </si>
  <si>
    <t>AEL-G2136-E-S</t>
  </si>
  <si>
    <t>AEL-D2836-E-S</t>
  </si>
  <si>
    <t>AEU-G2100-E-S</t>
  </si>
  <si>
    <t>AEU-D2800-E-S</t>
  </si>
  <si>
    <t>AEL-G3112-E-S</t>
  </si>
  <si>
    <t>AEL-D3812-E-S</t>
  </si>
  <si>
    <t>AEL-G3124-E-S</t>
  </si>
  <si>
    <t>AEL-D3824-E-S</t>
  </si>
  <si>
    <t>AEL-G3136-E-S</t>
  </si>
  <si>
    <t>AEL-D3836-E-S</t>
  </si>
  <si>
    <t>AEU-G3100-E-S</t>
  </si>
  <si>
    <t>AEU-D3800-E-S</t>
  </si>
  <si>
    <t>AXL-G1112-E-S</t>
  </si>
  <si>
    <t>AXL-D1812-E-S</t>
  </si>
  <si>
    <t>AXL-G1124-E-S</t>
  </si>
  <si>
    <t>AXL-D1824-E-S</t>
  </si>
  <si>
    <t>AXL-G1136-E-S</t>
  </si>
  <si>
    <t>AXL-D1836-E-S</t>
  </si>
  <si>
    <t>AXL-G2112-E-S</t>
  </si>
  <si>
    <t>AXL-D2812-E-S</t>
  </si>
  <si>
    <t>AXL-G2124-E-S</t>
  </si>
  <si>
    <t>AXL-D2824-E-S</t>
  </si>
  <si>
    <t>AXL-G2136-E-S</t>
  </si>
  <si>
    <t>AXL-D2836-E-S</t>
  </si>
  <si>
    <t>AXL-G3112-E-S</t>
  </si>
  <si>
    <t>AXL-D3812-E-S</t>
  </si>
  <si>
    <t>AXL-G3124-E-S</t>
  </si>
  <si>
    <t>AXL-D3824-E-S</t>
  </si>
  <si>
    <t>AXL-G3136-E-S</t>
  </si>
  <si>
    <t>AXL-D3836-E-S</t>
  </si>
  <si>
    <t>CloudFusion Enterprise Perpetual License for Education</t>
  </si>
  <si>
    <t>CloudFusion Enterprise Perpetual License for Commercial</t>
  </si>
  <si>
    <t>教育版支援的單位及範圍(規則)</t>
  </si>
  <si>
    <r>
      <rPr>
        <u/>
        <sz val="12"/>
        <color theme="10"/>
        <rFont val="細明體"/>
        <family val="3"/>
        <charset val="136"/>
      </rPr>
      <t>教育版支援的單位及範圍</t>
    </r>
    <r>
      <rPr>
        <u/>
        <sz val="12"/>
        <color theme="10"/>
        <rFont val="Arial"/>
        <family val="2"/>
      </rPr>
      <t>(</t>
    </r>
    <r>
      <rPr>
        <u/>
        <sz val="12"/>
        <color theme="10"/>
        <rFont val="細明體"/>
        <family val="3"/>
        <charset val="136"/>
      </rPr>
      <t>規則</t>
    </r>
    <r>
      <rPr>
        <u/>
        <sz val="12"/>
        <color theme="10"/>
        <rFont val="Arial"/>
        <family val="2"/>
      </rPr>
      <t>)</t>
    </r>
  </si>
  <si>
    <t>50~150萬</t>
    <phoneticPr fontId="10" type="noConversion"/>
  </si>
  <si>
    <t>500,000–1,500,000</t>
    <phoneticPr fontId="10" type="noConversion"/>
  </si>
  <si>
    <t>*1 NODE consists of 8 GPUs</t>
    <phoneticPr fontId="10" type="noConversion"/>
  </si>
  <si>
    <t>AI-Stack Training Service, 0.5*Day</t>
  </si>
  <si>
    <t>AI-Stack Training Service, 1*Day</t>
  </si>
  <si>
    <t>AI-Stack Professional Service for Commercial</t>
  </si>
  <si>
    <t>AI-Stack Professional Service for Education</t>
  </si>
  <si>
    <t>CloudFusion Professional Service for Education</t>
  </si>
  <si>
    <t>CloudFusion Training Service, 1*Day</t>
  </si>
  <si>
    <t>CloudFusion Training Service, 0.5*Day</t>
  </si>
  <si>
    <t>CloudFusion Professional Service</t>
  </si>
  <si>
    <t>CloudFusion Training Service</t>
  </si>
  <si>
    <t>APS-T10001-E</t>
  </si>
  <si>
    <t>APS-C05001-E</t>
  </si>
  <si>
    <t>APS-C10001-E</t>
  </si>
  <si>
    <t>AI-Stack Professional Service</t>
  </si>
  <si>
    <t>AI-Stack Training Service</t>
  </si>
  <si>
    <t>AI-Stack Consultant Service</t>
  </si>
  <si>
    <t>AI-Stack Consultant Service, 1*Day</t>
  </si>
  <si>
    <t>AI-Stack Consultant Service, 0.5*Day</t>
  </si>
  <si>
    <t>APS-T10001-C</t>
  </si>
  <si>
    <t>APS-C05001-C</t>
  </si>
  <si>
    <t>CPS-C10001-C</t>
  </si>
  <si>
    <t>CPS-C05001-C</t>
  </si>
  <si>
    <t>CPS-T10001-C</t>
  </si>
  <si>
    <t>CloudFusion Consultant Service, 1*Day</t>
  </si>
  <si>
    <t>CloudFusion Consultant Service, 0.5*Day</t>
  </si>
  <si>
    <t>CloudFusion Consultant Service</t>
  </si>
  <si>
    <t>CPS-P10001-E</t>
  </si>
  <si>
    <t>CPS-P05001-E</t>
  </si>
  <si>
    <t>CPS-T10001-E</t>
  </si>
  <si>
    <t>CloudFusion Professional Service for Commercial</t>
  </si>
  <si>
    <t>AI-Stack Enterprise Perpetual License, 1*GPU-Tier2, 3 years SUMS</t>
    <phoneticPr fontId="10" type="noConversion"/>
  </si>
  <si>
    <t>AEL-G2136-C-P</t>
    <phoneticPr fontId="10" type="noConversion"/>
  </si>
  <si>
    <t>AI-Stack Enterprise Perpetual License, 1*NODE-Tier1, 3 years SUMS</t>
    <phoneticPr fontId="10" type="noConversion"/>
  </si>
  <si>
    <t>AEL-D1836-C-P</t>
    <phoneticPr fontId="10" type="noConversion"/>
  </si>
  <si>
    <t>AI-Stack Enterprise Perpetual License, 1*NODE-Tier2, 3 years SUMS</t>
    <phoneticPr fontId="10" type="noConversion"/>
  </si>
  <si>
    <t>AEL-D2836-C-P</t>
    <phoneticPr fontId="10" type="noConversion"/>
  </si>
  <si>
    <t>AI-Stack Consultant Service, 1*Day</t>
    <phoneticPr fontId="57" type="noConversion"/>
  </si>
  <si>
    <t>APS-C10001-C</t>
    <phoneticPr fontId="5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</si>
</sst>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26" formatCode="&quot;US$&quot;#,##0.00_);[Red]\(&quot;US$&quot;#,##0.00\)"/>
    <numFmt numFmtId="176" formatCode="_-* #,##0.00_-;\-* #,##0.00_-;_-* &quot;-&quot;??_-;_-@_-"/>
    <numFmt numFmtId="177" formatCode="_-* #,##0_-;\-* #,##0_-;_-* &quot;-&quot;??_-;_-@"/>
    <numFmt numFmtId="178" formatCode="&quot;NT$&quot;#,##0"/>
    <numFmt numFmtId="179" formatCode="#,##0_ "/>
  </numFmts>
  <fonts count="58">
    <font>
      <sz val="12"/>
      <color theme="1"/>
      <name val="Arial"/>
    </font>
    <font>
      <sz val="12"/>
      <color theme="1"/>
      <name val="微軟正黑體"/>
      <family val="2"/>
      <charset val="136"/>
    </font>
    <font>
      <sz val="12"/>
      <color theme="1"/>
      <name val="Calibri"/>
      <family val="2"/>
    </font>
    <font>
      <sz val="10"/>
      <color rgb="FF000000"/>
      <name val="Arimo"/>
    </font>
    <font>
      <b/>
      <sz val="28"/>
      <color rgb="FF000000"/>
      <name val="Calibri"/>
      <family val="2"/>
    </font>
    <font>
      <sz val="12"/>
      <name val="Arial"/>
      <family val="2"/>
    </font>
    <font>
      <b/>
      <sz val="10"/>
      <color rgb="FF000000"/>
      <name val="Calibri"/>
      <family val="2"/>
    </font>
    <font>
      <sz val="10"/>
      <color rgb="FF000000"/>
      <name val="Calibri"/>
      <family val="2"/>
    </font>
    <font>
      <sz val="10"/>
      <color rgb="FFFF0000"/>
      <name val="Arimo"/>
    </font>
    <font>
      <sz val="12"/>
      <color theme="1"/>
      <name val="Arimo"/>
    </font>
    <font>
      <sz val="9"/>
      <name val="細明體"/>
      <family val="3"/>
      <charset val="136"/>
    </font>
    <font>
      <b/>
      <sz val="28"/>
      <color rgb="FF000000"/>
      <name val="Calibri"/>
      <family val="2"/>
      <scheme val="minor"/>
    </font>
    <font>
      <sz val="12"/>
      <color theme="1"/>
      <name val="Calibri"/>
      <family val="2"/>
      <scheme val="minor"/>
    </font>
    <font>
      <sz val="10"/>
      <color theme="1"/>
      <name val="Calibri"/>
      <family val="2"/>
      <scheme val="minor"/>
    </font>
    <font>
      <sz val="10"/>
      <color rgb="FF000000"/>
      <name val="Calibri"/>
      <family val="2"/>
      <scheme val="minor"/>
    </font>
    <font>
      <sz val="12"/>
      <color theme="1"/>
      <name val="Arial"/>
      <family val="2"/>
    </font>
    <font>
      <sz val="10"/>
      <name val="微軟正黑體"/>
      <family val="2"/>
      <charset val="136"/>
    </font>
    <font>
      <sz val="10"/>
      <color rgb="FF000000"/>
      <name val="微軟正黑體"/>
      <family val="2"/>
      <charset val="136"/>
    </font>
    <font>
      <sz val="12"/>
      <color theme="1"/>
      <name val="細明體"/>
      <family val="3"/>
      <charset val="136"/>
    </font>
    <font>
      <sz val="12"/>
      <color theme="1"/>
      <name val="細明體"/>
      <family val="2"/>
      <charset val="136"/>
    </font>
    <font>
      <u/>
      <sz val="12"/>
      <color theme="10"/>
      <name val="Arial"/>
      <family val="2"/>
    </font>
    <font>
      <sz val="12"/>
      <color theme="1"/>
      <name val="微軟正黑體"/>
      <family val="2"/>
      <charset val="136"/>
    </font>
    <font>
      <sz val="12"/>
      <color theme="1"/>
      <name val="Arial"/>
      <family val="3"/>
    </font>
    <font>
      <sz val="12"/>
      <color theme="0"/>
      <name val="微軟正黑體"/>
      <family val="2"/>
      <charset val="136"/>
    </font>
    <font>
      <b/>
      <sz val="12"/>
      <color rgb="FFFF0000"/>
      <name val="微軟正黑體"/>
      <family val="2"/>
      <charset val="136"/>
    </font>
    <font>
      <u/>
      <sz val="12"/>
      <color theme="10"/>
      <name val="微軟正黑體"/>
      <family val="2"/>
      <charset val="136"/>
    </font>
    <font>
      <u/>
      <sz val="12"/>
      <color theme="10"/>
      <name val="細明體"/>
      <family val="3"/>
      <charset val="136"/>
    </font>
    <font>
      <b/>
      <sz val="12"/>
      <color theme="1"/>
      <name val="微軟正黑體"/>
      <family val="2"/>
      <charset val="136"/>
    </font>
    <font>
      <sz val="10"/>
      <color rgb="FFFF0000"/>
      <name val="微軟正黑體"/>
      <family val="2"/>
      <charset val="136"/>
    </font>
    <font>
      <u/>
      <sz val="10"/>
      <color theme="8"/>
      <name val="Calibri"/>
      <family val="2"/>
    </font>
    <font>
      <b/>
      <sz val="10"/>
      <color rgb="FF000000"/>
      <name val="微軟正黑體"/>
      <family val="2"/>
      <charset val="136"/>
    </font>
    <font>
      <sz val="10"/>
      <color theme="1"/>
      <name val="微軟正黑體"/>
      <family val="2"/>
      <charset val="136"/>
    </font>
    <font>
      <u/>
      <sz val="12"/>
      <color theme="10"/>
      <name val="Arial"/>
      <family val="2"/>
      <charset val="136"/>
    </font>
    <font>
      <b/>
      <u/>
      <sz val="10"/>
      <color rgb="FF000000"/>
      <name val="Calibri"/>
      <family val="2"/>
    </font>
    <font>
      <b/>
      <u/>
      <sz val="12"/>
      <color rgb="FF000000"/>
      <name val="Calibri"/>
      <family val="2"/>
    </font>
    <font>
      <sz val="18"/>
      <color rgb="FFFF0000"/>
      <name val="Aptos"/>
      <family val="2"/>
    </font>
    <font>
      <sz val="12"/>
      <color theme="1"/>
      <name val="Aptos"/>
      <family val="2"/>
    </font>
    <font>
      <sz val="12"/>
      <name val="Aptos"/>
      <family val="2"/>
    </font>
    <font>
      <b/>
      <sz val="28"/>
      <color rgb="FF000000"/>
      <name val="Aptos"/>
      <family val="2"/>
    </font>
    <font>
      <sz val="12"/>
      <color rgb="FF000000"/>
      <name val="Aptos"/>
      <family val="2"/>
    </font>
    <font>
      <b/>
      <sz val="10"/>
      <color rgb="FF000000"/>
      <name val="Aptos"/>
      <family val="2"/>
    </font>
    <font>
      <b/>
      <sz val="10"/>
      <name val="Aptos"/>
      <family val="2"/>
    </font>
    <font>
      <sz val="10"/>
      <color rgb="FF000000"/>
      <name val="Aptos"/>
      <family val="2"/>
    </font>
    <font>
      <sz val="10"/>
      <name val="Aptos"/>
      <family val="2"/>
    </font>
    <font>
      <b/>
      <sz val="28"/>
      <color theme="1"/>
      <name val="Aptos"/>
      <family val="2"/>
    </font>
    <font>
      <u/>
      <sz val="12"/>
      <color theme="10"/>
      <name val="Aptos"/>
      <family val="2"/>
    </font>
    <font>
      <sz val="12"/>
      <color rgb="FFFF0000"/>
      <name val="Aptos"/>
      <family val="2"/>
    </font>
    <font>
      <sz val="9"/>
      <color theme="1"/>
      <name val="Aptos"/>
      <family val="2"/>
    </font>
    <font>
      <sz val="12"/>
      <color theme="1"/>
      <name val="Aptos"/>
    </font>
    <font>
      <sz val="12"/>
      <name val="Aptos"/>
    </font>
    <font>
      <sz val="12"/>
      <color rgb="FF000000"/>
      <name val="Aptos"/>
    </font>
    <font>
      <sz val="10"/>
      <name val="Aptos"/>
    </font>
    <font>
      <sz val="10"/>
      <color rgb="FF000000"/>
      <name val="Aptos"/>
    </font>
    <font>
      <b/>
      <sz val="10"/>
      <name val="Aptos"/>
    </font>
    <font>
      <b/>
      <sz val="10"/>
      <color rgb="FF000000"/>
      <name val="Aptos"/>
    </font>
    <font>
      <b/>
      <sz val="28"/>
      <color rgb="FF000000"/>
      <name val="Aptos"/>
    </font>
    <font>
      <sz val="18"/>
      <color rgb="FFFF0000"/>
      <name val="Aptos"/>
    </font>
    <font>
      <sz val="9"/>
      <name val="Wawati TC"/>
      <family val="3"/>
      <charset val="136"/>
    </font>
  </fonts>
  <fills count="10">
    <fill>
      <patternFill patternType="none"/>
    </fill>
    <fill>
      <patternFill patternType="gray125"/>
    </fill>
    <fill>
      <patternFill patternType="solid">
        <fgColor rgb="FFC4D79B"/>
        <bgColor rgb="FFC4D79B"/>
      </patternFill>
    </fill>
    <fill>
      <patternFill patternType="solid">
        <fgColor rgb="FFFFFF00"/>
        <bgColor rgb="FFFFFF00"/>
      </patternFill>
    </fill>
    <fill>
      <patternFill patternType="solid">
        <fgColor rgb="FFEBF1DE"/>
        <bgColor rgb="FFEBF1DE"/>
      </patternFill>
    </fill>
    <fill>
      <patternFill patternType="solid">
        <fgColor rgb="FFBFBFBF"/>
        <bgColor rgb="FFBFBFBF"/>
      </patternFill>
    </fill>
    <fill>
      <patternFill patternType="solid">
        <fgColor rgb="FFF2DCDB"/>
        <bgColor rgb="FFF2DCDB"/>
      </patternFill>
    </fill>
    <fill>
      <patternFill patternType="solid">
        <fgColor rgb="FFFBE4D5"/>
        <bgColor rgb="FFFBE4D5"/>
      </patternFill>
    </fill>
    <fill>
      <patternFill patternType="solid">
        <fgColor rgb="FFDADADA"/>
        <bgColor rgb="FFDADADA"/>
      </patternFill>
    </fill>
    <fill>
      <patternFill patternType="solid">
        <fgColor theme="1"/>
        <bgColor indexed="64"/>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style="medium">
        <color rgb="FF9BBB59"/>
      </left>
      <right style="medium">
        <color rgb="FF9BBB59"/>
      </right>
      <top style="medium">
        <color rgb="FF9BBB59"/>
      </top>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9BBB59"/>
      </left>
      <right style="medium">
        <color rgb="FF9BBB59"/>
      </right>
      <top/>
      <bottom style="medium">
        <color rgb="FF9BBB59"/>
      </bottom>
      <diagonal/>
    </border>
    <border>
      <left/>
      <right style="medium">
        <color rgb="FF9BBB59"/>
      </right>
      <top/>
      <bottom style="medium">
        <color rgb="FF9BBB59"/>
      </bottom>
      <diagonal/>
    </border>
    <border>
      <left style="medium">
        <color rgb="FF000000"/>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rgb="FF9BBB59"/>
      </left>
      <right/>
      <top style="medium">
        <color rgb="FF9BBB59"/>
      </top>
      <bottom style="medium">
        <color rgb="FF9BBB59"/>
      </bottom>
      <diagonal/>
    </border>
    <border>
      <left/>
      <right style="medium">
        <color rgb="FF9BBB59"/>
      </right>
      <top style="medium">
        <color rgb="FF9BBB59"/>
      </top>
      <bottom style="medium">
        <color rgb="FF9BBB59"/>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rgb="FF9BBB59"/>
      </right>
      <top style="medium">
        <color rgb="FF9BBB59"/>
      </top>
      <bottom/>
      <diagonal/>
    </border>
  </borders>
  <cellStyleXfs count="3">
    <xf numFmtId="0" fontId="0" fillId="0" borderId="0"/>
    <xf numFmtId="0" fontId="20" fillId="0" borderId="0" applyNumberFormat="0" applyFill="0" applyBorder="0" applyAlignment="0" applyProtection="0"/>
    <xf numFmtId="0" fontId="15" fillId="0" borderId="0"/>
  </cellStyleXfs>
  <cellXfs count="192">
    <xf numFmtId="0" fontId="0" fillId="0" borderId="0" xfId="0" applyAlignment="1">
      <alignment vertical="center"/>
    </xf>
    <xf numFmtId="0" fontId="2" fillId="0" borderId="0" xfId="0" applyFont="1" applyAlignment="1">
      <alignment vertical="center"/>
    </xf>
    <xf numFmtId="0" fontId="3" fillId="0" borderId="1" xfId="0" applyFont="1" applyBorder="1" applyAlignment="1">
      <alignment vertical="center"/>
    </xf>
    <xf numFmtId="0" fontId="4" fillId="0" borderId="0" xfId="0" applyFont="1" applyAlignment="1">
      <alignment horizontal="left" vertical="center"/>
    </xf>
    <xf numFmtId="0" fontId="6" fillId="2" borderId="2" xfId="0" applyFont="1" applyFill="1" applyBorder="1" applyAlignment="1">
      <alignment vertical="center"/>
    </xf>
    <xf numFmtId="0" fontId="3" fillId="3" borderId="3" xfId="0" applyFont="1" applyFill="1" applyBorder="1" applyAlignment="1">
      <alignment vertical="center"/>
    </xf>
    <xf numFmtId="0" fontId="7" fillId="0" borderId="5" xfId="0" applyFont="1" applyBorder="1" applyAlignment="1">
      <alignment vertical="center"/>
    </xf>
    <xf numFmtId="0" fontId="7" fillId="0" borderId="6" xfId="0" applyFont="1" applyBorder="1" applyAlignment="1">
      <alignment horizontal="center" vertical="center"/>
    </xf>
    <xf numFmtId="0" fontId="7" fillId="0" borderId="6" xfId="0" applyFont="1" applyBorder="1" applyAlignment="1">
      <alignment horizontal="center" vertical="center" wrapText="1"/>
    </xf>
    <xf numFmtId="0" fontId="3" fillId="5" borderId="8" xfId="0" applyFont="1" applyFill="1" applyBorder="1" applyAlignment="1">
      <alignment vertical="center"/>
    </xf>
    <xf numFmtId="26" fontId="3" fillId="5" borderId="8" xfId="0" applyNumberFormat="1" applyFont="1" applyFill="1" applyBorder="1" applyAlignment="1">
      <alignment horizontal="right" vertical="center"/>
    </xf>
    <xf numFmtId="178" fontId="8" fillId="5" borderId="8" xfId="0" applyNumberFormat="1" applyFont="1" applyFill="1" applyBorder="1" applyAlignment="1">
      <alignment vertical="center"/>
    </xf>
    <xf numFmtId="0" fontId="3" fillId="5" borderId="8" xfId="0" applyFont="1" applyFill="1" applyBorder="1" applyAlignment="1">
      <alignment horizontal="center" vertical="center"/>
    </xf>
    <xf numFmtId="0" fontId="3" fillId="6" borderId="8" xfId="0" applyFont="1" applyFill="1" applyBorder="1" applyAlignment="1">
      <alignment vertical="center"/>
    </xf>
    <xf numFmtId="0" fontId="3" fillId="7" borderId="8" xfId="0" applyFont="1" applyFill="1" applyBorder="1" applyAlignment="1">
      <alignment vertical="center"/>
    </xf>
    <xf numFmtId="26" fontId="3" fillId="7" borderId="8" xfId="0" applyNumberFormat="1" applyFont="1" applyFill="1" applyBorder="1" applyAlignment="1">
      <alignment horizontal="right" vertical="center"/>
    </xf>
    <xf numFmtId="178" fontId="8" fillId="7" borderId="8" xfId="0" applyNumberFormat="1" applyFont="1" applyFill="1" applyBorder="1" applyAlignment="1">
      <alignment vertical="center"/>
    </xf>
    <xf numFmtId="0" fontId="3" fillId="7" borderId="8" xfId="0" applyFont="1" applyFill="1" applyBorder="1" applyAlignment="1">
      <alignment horizontal="center" vertical="center"/>
    </xf>
    <xf numFmtId="0" fontId="3" fillId="8" borderId="9" xfId="0" applyFont="1" applyFill="1" applyBorder="1" applyAlignment="1">
      <alignment vertical="center"/>
    </xf>
    <xf numFmtId="0" fontId="3" fillId="8" borderId="8" xfId="0" applyFont="1" applyFill="1" applyBorder="1" applyAlignment="1">
      <alignment vertical="center"/>
    </xf>
    <xf numFmtId="26" fontId="3" fillId="8" borderId="8" xfId="0" applyNumberFormat="1" applyFont="1" applyFill="1" applyBorder="1" applyAlignment="1">
      <alignment horizontal="right" vertical="center"/>
    </xf>
    <xf numFmtId="178" fontId="8" fillId="8" borderId="8" xfId="0" applyNumberFormat="1" applyFont="1" applyFill="1" applyBorder="1" applyAlignment="1">
      <alignment vertical="center"/>
    </xf>
    <xf numFmtId="0" fontId="3" fillId="8" borderId="8" xfId="0" applyFont="1" applyFill="1" applyBorder="1" applyAlignment="1">
      <alignment horizontal="center" vertical="center"/>
    </xf>
    <xf numFmtId="49" fontId="2" fillId="0" borderId="0" xfId="0" applyNumberFormat="1" applyFont="1" applyAlignment="1">
      <alignment vertical="center"/>
    </xf>
    <xf numFmtId="0" fontId="2" fillId="0" borderId="0" xfId="0" applyFont="1" applyAlignment="1">
      <alignment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7" fillId="0" borderId="5" xfId="0" applyFont="1" applyBorder="1" applyAlignment="1">
      <alignment horizontal="center" vertical="center"/>
    </xf>
    <xf numFmtId="0" fontId="7" fillId="0" borderId="6" xfId="0" applyFont="1" applyBorder="1" applyAlignment="1">
      <alignment vertical="center" wrapText="1"/>
    </xf>
    <xf numFmtId="0" fontId="11" fillId="0" borderId="0" xfId="0" applyFont="1" applyAlignment="1">
      <alignment horizontal="left" vertical="center"/>
    </xf>
    <xf numFmtId="0" fontId="12" fillId="0" borderId="0" xfId="0" applyFont="1" applyAlignment="1">
      <alignment vertical="center" wrapText="1"/>
    </xf>
    <xf numFmtId="0" fontId="12" fillId="0" borderId="0" xfId="0" applyFont="1" applyAlignment="1">
      <alignment vertical="center"/>
    </xf>
    <xf numFmtId="0" fontId="13" fillId="0" borderId="0" xfId="0" applyFont="1" applyAlignment="1">
      <alignment vertical="center"/>
    </xf>
    <xf numFmtId="0" fontId="14" fillId="0" borderId="5" xfId="0" applyFont="1" applyBorder="1" applyAlignment="1">
      <alignment horizontal="center" vertical="center"/>
    </xf>
    <xf numFmtId="0" fontId="14" fillId="0" borderId="6" xfId="0" applyFont="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vertical="center" wrapText="1"/>
    </xf>
    <xf numFmtId="0" fontId="12" fillId="0" borderId="0" xfId="0" applyFont="1" applyAlignment="1">
      <alignment horizontal="center" vertical="center"/>
    </xf>
    <xf numFmtId="0" fontId="17" fillId="0" borderId="6" xfId="0" applyFont="1" applyBorder="1" applyAlignment="1">
      <alignment horizontal="center" vertical="center" wrapText="1"/>
    </xf>
    <xf numFmtId="0" fontId="17" fillId="4" borderId="6" xfId="0" applyFont="1" applyFill="1" applyBorder="1" applyAlignment="1">
      <alignment horizontal="center" vertical="center"/>
    </xf>
    <xf numFmtId="0" fontId="17" fillId="0" borderId="6" xfId="0" applyFont="1" applyBorder="1" applyAlignment="1">
      <alignment horizontal="center" vertical="center"/>
    </xf>
    <xf numFmtId="0" fontId="7" fillId="4" borderId="6" xfId="0" applyFont="1" applyFill="1" applyBorder="1" applyAlignment="1">
      <alignment horizontal="center" vertical="center"/>
    </xf>
    <xf numFmtId="0" fontId="7" fillId="4" borderId="6" xfId="0" applyFont="1" applyFill="1" applyBorder="1" applyAlignment="1">
      <alignment horizontal="center" vertical="center" wrapText="1"/>
    </xf>
    <xf numFmtId="0" fontId="15" fillId="0" borderId="0" xfId="0" applyFont="1" applyAlignment="1">
      <alignment vertical="center"/>
    </xf>
    <xf numFmtId="0" fontId="19" fillId="0" borderId="0" xfId="0" applyFont="1" applyAlignment="1">
      <alignment vertical="center"/>
    </xf>
    <xf numFmtId="0" fontId="20" fillId="0" borderId="0" xfId="1" applyAlignment="1">
      <alignment vertical="center"/>
    </xf>
    <xf numFmtId="176" fontId="0" fillId="0" borderId="0" xfId="0" applyNumberFormat="1" applyAlignment="1">
      <alignment vertical="center"/>
    </xf>
    <xf numFmtId="0" fontId="21" fillId="0" borderId="10" xfId="0" applyFont="1" applyBorder="1" applyAlignment="1">
      <alignment vertical="center" wrapText="1"/>
    </xf>
    <xf numFmtId="0" fontId="21" fillId="0" borderId="10" xfId="0" applyFont="1" applyBorder="1" applyAlignment="1">
      <alignment vertical="center"/>
    </xf>
    <xf numFmtId="0" fontId="23" fillId="9" borderId="10" xfId="0" applyFont="1" applyFill="1" applyBorder="1" applyAlignment="1">
      <alignment horizontal="center" vertical="center"/>
    </xf>
    <xf numFmtId="0" fontId="23" fillId="9" borderId="10" xfId="0" applyFont="1" applyFill="1" applyBorder="1" applyAlignment="1">
      <alignment horizontal="center" vertical="center" wrapText="1"/>
    </xf>
    <xf numFmtId="0" fontId="21" fillId="0" borderId="0" xfId="0" applyFont="1" applyAlignment="1">
      <alignment vertical="center"/>
    </xf>
    <xf numFmtId="0" fontId="24" fillId="0" borderId="0" xfId="0" applyFont="1" applyAlignment="1">
      <alignment vertical="center"/>
    </xf>
    <xf numFmtId="0" fontId="21" fillId="0" borderId="0" xfId="0" applyFont="1" applyAlignment="1">
      <alignment vertical="center" wrapText="1"/>
    </xf>
    <xf numFmtId="0" fontId="27" fillId="0" borderId="0" xfId="0" applyFont="1" applyAlignment="1">
      <alignment vertical="center" wrapText="1"/>
    </xf>
    <xf numFmtId="0" fontId="25" fillId="0" borderId="0" xfId="1" applyFont="1" applyAlignment="1">
      <alignment vertical="center" wrapText="1"/>
    </xf>
    <xf numFmtId="0" fontId="28" fillId="0" borderId="0" xfId="0" applyFont="1" applyAlignment="1">
      <alignment vertical="center" wrapText="1"/>
    </xf>
    <xf numFmtId="0" fontId="30" fillId="2" borderId="2" xfId="0" applyFont="1" applyFill="1" applyBorder="1" applyAlignment="1">
      <alignment horizontal="center" vertical="center"/>
    </xf>
    <xf numFmtId="0" fontId="30" fillId="2" borderId="2" xfId="0" applyFont="1" applyFill="1" applyBorder="1" applyAlignment="1">
      <alignment horizontal="center" vertical="center" wrapText="1"/>
    </xf>
    <xf numFmtId="0" fontId="16" fillId="0" borderId="6" xfId="0" applyFont="1" applyBorder="1" applyAlignment="1">
      <alignment vertical="center" wrapText="1"/>
    </xf>
    <xf numFmtId="0" fontId="17" fillId="0" borderId="6" xfId="0" applyFont="1" applyBorder="1" applyAlignment="1">
      <alignment vertical="center" wrapText="1"/>
    </xf>
    <xf numFmtId="0" fontId="17" fillId="4" borderId="6" xfId="0" applyFont="1" applyFill="1" applyBorder="1" applyAlignment="1">
      <alignment horizontal="center" vertical="center" wrapText="1"/>
    </xf>
    <xf numFmtId="0" fontId="31" fillId="0" borderId="0" xfId="0" applyFont="1" applyAlignment="1">
      <alignment vertical="center"/>
    </xf>
    <xf numFmtId="0" fontId="32" fillId="0" borderId="0" xfId="1" applyFont="1" applyAlignment="1">
      <alignment vertical="center"/>
    </xf>
    <xf numFmtId="0" fontId="5" fillId="0" borderId="0" xfId="0" applyFont="1" applyAlignment="1">
      <alignment vertical="center"/>
    </xf>
    <xf numFmtId="0" fontId="27" fillId="0" borderId="10" xfId="0" applyFont="1" applyBorder="1" applyAlignment="1">
      <alignment vertical="center" wrapText="1"/>
    </xf>
    <xf numFmtId="0" fontId="3" fillId="0" borderId="3" xfId="0" applyFont="1" applyBorder="1" applyAlignment="1">
      <alignment vertical="center"/>
    </xf>
    <xf numFmtId="0" fontId="8" fillId="0" borderId="3" xfId="0" applyFont="1" applyBorder="1" applyAlignment="1">
      <alignment vertical="center"/>
    </xf>
    <xf numFmtId="0" fontId="3" fillId="0" borderId="9" xfId="0" applyFont="1" applyBorder="1" applyAlignment="1">
      <alignment vertical="center"/>
    </xf>
    <xf numFmtId="0" fontId="3" fillId="0" borderId="8" xfId="0" applyFont="1" applyBorder="1" applyAlignment="1">
      <alignment vertical="center"/>
    </xf>
    <xf numFmtId="26" fontId="3" fillId="0" borderId="8" xfId="0" applyNumberFormat="1" applyFont="1" applyBorder="1" applyAlignment="1">
      <alignment horizontal="right" vertical="center"/>
    </xf>
    <xf numFmtId="178" fontId="8" fillId="0" borderId="8" xfId="0" applyNumberFormat="1" applyFont="1" applyBorder="1" applyAlignment="1">
      <alignment vertical="center"/>
    </xf>
    <xf numFmtId="0" fontId="3" fillId="0" borderId="8" xfId="0" applyFont="1" applyBorder="1" applyAlignment="1">
      <alignment horizontal="center" vertical="center"/>
    </xf>
    <xf numFmtId="0" fontId="14" fillId="4" borderId="5" xfId="0" applyFont="1" applyFill="1" applyBorder="1" applyAlignment="1">
      <alignment horizontal="center" vertical="center"/>
    </xf>
    <xf numFmtId="0" fontId="16" fillId="4" borderId="6" xfId="0" applyFont="1" applyFill="1" applyBorder="1" applyAlignment="1">
      <alignment vertical="center" wrapText="1"/>
    </xf>
    <xf numFmtId="0" fontId="14" fillId="4" borderId="6" xfId="0" applyFont="1" applyFill="1" applyBorder="1" applyAlignment="1">
      <alignment horizontal="center" vertical="center" wrapText="1"/>
    </xf>
    <xf numFmtId="49" fontId="14" fillId="4" borderId="5" xfId="0" applyNumberFormat="1" applyFont="1" applyFill="1" applyBorder="1" applyAlignment="1">
      <alignment horizontal="center" vertical="center"/>
    </xf>
    <xf numFmtId="0" fontId="7" fillId="4" borderId="5" xfId="0" applyFont="1" applyFill="1" applyBorder="1" applyAlignment="1">
      <alignment horizontal="center" vertical="center"/>
    </xf>
    <xf numFmtId="0" fontId="7" fillId="4" borderId="6" xfId="0" applyFont="1" applyFill="1" applyBorder="1" applyAlignment="1">
      <alignment vertical="center" wrapText="1"/>
    </xf>
    <xf numFmtId="0" fontId="21" fillId="0" borderId="10" xfId="0" applyFont="1" applyBorder="1" applyAlignment="1">
      <alignment horizontal="center" vertical="center"/>
    </xf>
    <xf numFmtId="0" fontId="21" fillId="0" borderId="10" xfId="0" applyFont="1" applyBorder="1" applyAlignment="1">
      <alignment horizontal="right" vertical="center"/>
    </xf>
    <xf numFmtId="0" fontId="21" fillId="0" borderId="10" xfId="0" applyFont="1" applyBorder="1" applyAlignment="1">
      <alignment horizontal="center" vertical="center" wrapText="1"/>
    </xf>
    <xf numFmtId="3" fontId="21" fillId="0" borderId="10" xfId="0" applyNumberFormat="1" applyFont="1" applyBorder="1" applyAlignment="1">
      <alignment vertical="center" wrapText="1"/>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21" fillId="0" borderId="16" xfId="0" applyFont="1" applyBorder="1" applyAlignment="1">
      <alignment vertical="center"/>
    </xf>
    <xf numFmtId="0" fontId="21" fillId="0" borderId="17" xfId="0" applyFont="1" applyBorder="1" applyAlignment="1">
      <alignment horizontal="right" vertical="center"/>
    </xf>
    <xf numFmtId="0" fontId="21" fillId="0" borderId="18" xfId="0" applyFont="1" applyBorder="1" applyAlignment="1">
      <alignment vertical="center"/>
    </xf>
    <xf numFmtId="0" fontId="21" fillId="0" borderId="19" xfId="0" applyFont="1" applyBorder="1" applyAlignment="1">
      <alignment horizontal="right" vertical="center"/>
    </xf>
    <xf numFmtId="0" fontId="21" fillId="0" borderId="20" xfId="0" applyFont="1" applyBorder="1" applyAlignment="1">
      <alignment horizontal="right" vertical="center"/>
    </xf>
    <xf numFmtId="0" fontId="21" fillId="0" borderId="16"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6" xfId="0" applyFont="1" applyBorder="1" applyAlignment="1">
      <alignment vertical="center" wrapText="1"/>
    </xf>
    <xf numFmtId="3" fontId="21" fillId="0" borderId="17" xfId="0" applyNumberFormat="1" applyFont="1" applyBorder="1" applyAlignment="1">
      <alignment vertical="center" wrapText="1"/>
    </xf>
    <xf numFmtId="0" fontId="21" fillId="0" borderId="18" xfId="0" applyFont="1" applyBorder="1" applyAlignment="1">
      <alignment vertical="center" wrapText="1"/>
    </xf>
    <xf numFmtId="3" fontId="21" fillId="0" borderId="19" xfId="0" applyNumberFormat="1" applyFont="1" applyBorder="1" applyAlignment="1">
      <alignment vertical="center" wrapText="1"/>
    </xf>
    <xf numFmtId="3" fontId="21" fillId="0" borderId="20" xfId="0" applyNumberFormat="1" applyFont="1" applyBorder="1" applyAlignment="1">
      <alignment vertical="center" wrapText="1"/>
    </xf>
    <xf numFmtId="0" fontId="35" fillId="0" borderId="0" xfId="2" applyFont="1" applyAlignment="1">
      <alignment vertical="center"/>
    </xf>
    <xf numFmtId="0" fontId="36" fillId="0" borderId="0" xfId="2" applyFont="1" applyAlignment="1">
      <alignment vertical="center"/>
    </xf>
    <xf numFmtId="38" fontId="37" fillId="0" borderId="0" xfId="2" applyNumberFormat="1" applyFont="1" applyAlignment="1">
      <alignment vertical="center"/>
    </xf>
    <xf numFmtId="0" fontId="37" fillId="0" borderId="0" xfId="2" applyFont="1" applyAlignment="1">
      <alignment vertical="center"/>
    </xf>
    <xf numFmtId="0" fontId="38" fillId="0" borderId="0" xfId="2" applyFont="1" applyAlignment="1">
      <alignment horizontal="left" vertical="center"/>
    </xf>
    <xf numFmtId="0" fontId="39" fillId="0" borderId="0" xfId="2" applyFont="1" applyAlignment="1">
      <alignment vertical="center"/>
    </xf>
    <xf numFmtId="0" fontId="40" fillId="2" borderId="2" xfId="2" applyFont="1" applyFill="1" applyBorder="1" applyAlignment="1">
      <alignment vertical="center"/>
    </xf>
    <xf numFmtId="0" fontId="40" fillId="2" borderId="24" xfId="2" applyFont="1" applyFill="1" applyBorder="1" applyAlignment="1">
      <alignment vertical="center"/>
    </xf>
    <xf numFmtId="0" fontId="40" fillId="2" borderId="24" xfId="2" applyFont="1" applyFill="1" applyBorder="1" applyAlignment="1">
      <alignment vertical="center" wrapText="1"/>
    </xf>
    <xf numFmtId="38" fontId="41" fillId="2" borderId="24" xfId="2" applyNumberFormat="1" applyFont="1" applyFill="1" applyBorder="1" applyAlignment="1">
      <alignment vertical="center" wrapText="1"/>
    </xf>
    <xf numFmtId="0" fontId="41" fillId="2" borderId="24" xfId="2" applyFont="1" applyFill="1" applyBorder="1" applyAlignment="1">
      <alignment horizontal="center" vertical="center" wrapText="1"/>
    </xf>
    <xf numFmtId="0" fontId="42" fillId="0" borderId="5" xfId="2" applyFont="1" applyBorder="1" applyAlignment="1">
      <alignment vertical="center"/>
    </xf>
    <xf numFmtId="0" fontId="42" fillId="0" borderId="6" xfId="2" applyFont="1" applyBorder="1" applyAlignment="1">
      <alignment vertical="center"/>
    </xf>
    <xf numFmtId="0" fontId="42" fillId="0" borderId="6" xfId="2" applyFont="1" applyBorder="1" applyAlignment="1">
      <alignment horizontal="left" vertical="center"/>
    </xf>
    <xf numFmtId="49" fontId="42" fillId="0" borderId="6" xfId="2" applyNumberFormat="1" applyFont="1" applyBorder="1" applyAlignment="1">
      <alignment horizontal="center" vertical="center" wrapText="1"/>
    </xf>
    <xf numFmtId="0" fontId="42" fillId="0" borderId="6" xfId="2" applyFont="1" applyBorder="1" applyAlignment="1">
      <alignment horizontal="center" vertical="center" wrapText="1"/>
    </xf>
    <xf numFmtId="38" fontId="43" fillId="0" borderId="6" xfId="2" applyNumberFormat="1" applyFont="1" applyBorder="1" applyAlignment="1">
      <alignment horizontal="right" vertical="center" wrapText="1"/>
    </xf>
    <xf numFmtId="177" fontId="43" fillId="0" borderId="6" xfId="2" applyNumberFormat="1" applyFont="1" applyBorder="1" applyAlignment="1">
      <alignment horizontal="center" vertical="center" wrapText="1"/>
    </xf>
    <xf numFmtId="177" fontId="39" fillId="0" borderId="0" xfId="2" applyNumberFormat="1" applyFont="1" applyAlignment="1">
      <alignment vertical="center"/>
    </xf>
    <xf numFmtId="0" fontId="42" fillId="0" borderId="0" xfId="2" applyFont="1" applyAlignment="1">
      <alignment vertical="center"/>
    </xf>
    <xf numFmtId="0" fontId="42" fillId="0" borderId="0" xfId="2" applyFont="1" applyAlignment="1">
      <alignment horizontal="left" vertical="center"/>
    </xf>
    <xf numFmtId="0" fontId="42" fillId="0" borderId="0" xfId="2" applyFont="1" applyAlignment="1">
      <alignment horizontal="center" vertical="center" wrapText="1"/>
    </xf>
    <xf numFmtId="38" fontId="43" fillId="0" borderId="0" xfId="2" applyNumberFormat="1" applyFont="1" applyAlignment="1">
      <alignment horizontal="right" vertical="center" wrapText="1"/>
    </xf>
    <xf numFmtId="177" fontId="43" fillId="0" borderId="0" xfId="2" applyNumberFormat="1" applyFont="1" applyAlignment="1">
      <alignment horizontal="center" vertical="center" wrapText="1"/>
    </xf>
    <xf numFmtId="0" fontId="44" fillId="0" borderId="0" xfId="2" applyFont="1" applyAlignment="1">
      <alignment horizontal="left" vertical="center"/>
    </xf>
    <xf numFmtId="0" fontId="40" fillId="2" borderId="2" xfId="2" applyFont="1" applyFill="1" applyBorder="1" applyAlignment="1">
      <alignment vertical="center" wrapText="1"/>
    </xf>
    <xf numFmtId="38" fontId="41" fillId="2" borderId="2" xfId="2" applyNumberFormat="1" applyFont="1" applyFill="1" applyBorder="1" applyAlignment="1">
      <alignment vertical="center" wrapText="1"/>
    </xf>
    <xf numFmtId="0" fontId="36" fillId="0" borderId="0" xfId="0" applyFont="1" applyAlignment="1">
      <alignment vertical="center"/>
    </xf>
    <xf numFmtId="0" fontId="36" fillId="0" borderId="0" xfId="0" applyFont="1" applyAlignment="1">
      <alignment horizontal="left" vertical="center" wrapText="1"/>
    </xf>
    <xf numFmtId="0" fontId="35" fillId="0" borderId="0" xfId="0" applyFont="1" applyAlignment="1">
      <alignment vertical="center"/>
    </xf>
    <xf numFmtId="38" fontId="37" fillId="0" borderId="0" xfId="0" applyNumberFormat="1" applyFont="1" applyAlignment="1">
      <alignment vertical="center"/>
    </xf>
    <xf numFmtId="0" fontId="37" fillId="0" borderId="0" xfId="0" applyFont="1" applyAlignment="1">
      <alignment vertical="center"/>
    </xf>
    <xf numFmtId="0" fontId="38" fillId="0" borderId="0" xfId="0" applyFont="1" applyAlignment="1">
      <alignment horizontal="left" vertical="center"/>
    </xf>
    <xf numFmtId="0" fontId="40" fillId="2" borderId="2" xfId="0" applyFont="1" applyFill="1" applyBorder="1" applyAlignment="1">
      <alignment vertical="center" wrapText="1"/>
    </xf>
    <xf numFmtId="0" fontId="40" fillId="2" borderId="2" xfId="0" applyFont="1" applyFill="1" applyBorder="1" applyAlignment="1">
      <alignment vertical="center"/>
    </xf>
    <xf numFmtId="38" fontId="41" fillId="2" borderId="2" xfId="0" applyNumberFormat="1" applyFont="1" applyFill="1" applyBorder="1" applyAlignment="1">
      <alignment vertical="center" wrapText="1"/>
    </xf>
    <xf numFmtId="0" fontId="42" fillId="0" borderId="5" xfId="0" applyFont="1" applyBorder="1" applyAlignment="1">
      <alignment vertical="center"/>
    </xf>
    <xf numFmtId="0" fontId="42" fillId="0" borderId="6" xfId="0" applyFont="1" applyBorder="1" applyAlignment="1">
      <alignment vertical="center"/>
    </xf>
    <xf numFmtId="0" fontId="42" fillId="0" borderId="6" xfId="0" applyFont="1" applyBorder="1" applyAlignment="1">
      <alignment horizontal="left" vertical="center"/>
    </xf>
    <xf numFmtId="49" fontId="42" fillId="0" borderId="6" xfId="0" applyNumberFormat="1" applyFont="1" applyBorder="1" applyAlignment="1">
      <alignment horizontal="center" vertical="center" wrapText="1"/>
    </xf>
    <xf numFmtId="0" fontId="42" fillId="0" borderId="6" xfId="0" applyFont="1" applyBorder="1" applyAlignment="1">
      <alignment horizontal="center" vertical="center" wrapText="1"/>
    </xf>
    <xf numFmtId="38" fontId="43" fillId="0" borderId="6" xfId="0" applyNumberFormat="1" applyFont="1" applyBorder="1" applyAlignment="1">
      <alignment horizontal="right" vertical="center" wrapText="1"/>
    </xf>
    <xf numFmtId="177" fontId="43" fillId="0" borderId="6" xfId="0" applyNumberFormat="1" applyFont="1" applyBorder="1" applyAlignment="1">
      <alignment horizontal="center" vertical="center" wrapText="1"/>
    </xf>
    <xf numFmtId="177" fontId="36" fillId="0" borderId="0" xfId="0" applyNumberFormat="1" applyFont="1" applyAlignment="1">
      <alignment vertical="center"/>
    </xf>
    <xf numFmtId="0" fontId="46" fillId="0" borderId="0" xfId="0" applyFont="1" applyAlignment="1">
      <alignment vertical="center"/>
    </xf>
    <xf numFmtId="0" fontId="42" fillId="0" borderId="0" xfId="0" applyFont="1" applyAlignment="1">
      <alignment vertical="center"/>
    </xf>
    <xf numFmtId="0" fontId="42" fillId="0" borderId="0" xfId="0" applyFont="1" applyAlignment="1">
      <alignment horizontal="left" vertical="center"/>
    </xf>
    <xf numFmtId="0" fontId="42" fillId="0" borderId="0" xfId="0" applyFont="1" applyAlignment="1">
      <alignment horizontal="center" vertical="center" wrapText="1"/>
    </xf>
    <xf numFmtId="38" fontId="43" fillId="0" borderId="0" xfId="0" applyNumberFormat="1" applyFont="1" applyAlignment="1">
      <alignment horizontal="right" vertical="center" wrapText="1"/>
    </xf>
    <xf numFmtId="177" fontId="43" fillId="0" borderId="0" xfId="0" applyNumberFormat="1" applyFont="1" applyAlignment="1">
      <alignment horizontal="center" vertical="center" wrapText="1"/>
    </xf>
    <xf numFmtId="49" fontId="36" fillId="0" borderId="0" xfId="0" applyNumberFormat="1" applyFont="1" applyAlignment="1">
      <alignment vertical="center"/>
    </xf>
    <xf numFmtId="49" fontId="40" fillId="2" borderId="2" xfId="0" applyNumberFormat="1" applyFont="1" applyFill="1" applyBorder="1" applyAlignment="1">
      <alignment vertical="center" wrapText="1"/>
    </xf>
    <xf numFmtId="179" fontId="43" fillId="0" borderId="6" xfId="0" applyNumberFormat="1" applyFont="1" applyBorder="1" applyAlignment="1">
      <alignment horizontal="right" vertical="center" wrapText="1"/>
    </xf>
    <xf numFmtId="0" fontId="41" fillId="2" borderId="24" xfId="0" applyFont="1" applyFill="1" applyBorder="1" applyAlignment="1">
      <alignment horizontal="center" vertical="center" wrapText="1"/>
    </xf>
    <xf numFmtId="179" fontId="47" fillId="0" borderId="0" xfId="0" applyNumberFormat="1" applyFont="1" applyAlignment="1">
      <alignment vertical="center"/>
    </xf>
    <xf numFmtId="176" fontId="36" fillId="0" borderId="0" xfId="0" applyNumberFormat="1" applyFont="1" applyAlignment="1">
      <alignment vertical="center"/>
    </xf>
    <xf numFmtId="0" fontId="1" fillId="0" borderId="16" xfId="0" applyFont="1" applyBorder="1" applyAlignment="1">
      <alignment vertical="center"/>
    </xf>
    <xf numFmtId="0" fontId="1" fillId="0" borderId="16" xfId="0" applyFont="1" applyBorder="1" applyAlignment="1">
      <alignment vertical="center" wrapText="1"/>
    </xf>
    <xf numFmtId="0" fontId="48" fillId="0" borderId="0" xfId="2" applyFont="1" applyAlignment="1">
      <alignment vertical="center"/>
    </xf>
    <xf numFmtId="0" fontId="49" fillId="0" borderId="0" xfId="2" applyFont="1" applyAlignment="1">
      <alignment vertical="center"/>
    </xf>
    <xf numFmtId="38" fontId="49" fillId="0" borderId="0" xfId="2" applyNumberFormat="1" applyFont="1" applyAlignment="1">
      <alignment vertical="center"/>
    </xf>
    <xf numFmtId="177" fontId="50" fillId="0" borderId="0" xfId="2" applyNumberFormat="1" applyFont="1" applyAlignment="1">
      <alignment vertical="center"/>
    </xf>
    <xf numFmtId="177" fontId="51" fillId="0" borderId="6" xfId="2" applyNumberFormat="1" applyFont="1" applyBorder="1" applyAlignment="1">
      <alignment horizontal="center" vertical="center" wrapText="1"/>
    </xf>
    <xf numFmtId="38" fontId="51" fillId="0" borderId="6" xfId="2" applyNumberFormat="1" applyFont="1" applyBorder="1" applyAlignment="1">
      <alignment horizontal="right" vertical="center" wrapText="1"/>
    </xf>
    <xf numFmtId="0" fontId="52" fillId="0" borderId="6" xfId="2" applyFont="1" applyBorder="1" applyAlignment="1">
      <alignment horizontal="center" vertical="center" wrapText="1"/>
    </xf>
    <xf numFmtId="0" fontId="52" fillId="0" borderId="6" xfId="2" applyFont="1" applyBorder="1" applyAlignment="1">
      <alignment horizontal="left" vertical="center"/>
    </xf>
    <xf numFmtId="0" fontId="52" fillId="0" borderId="6" xfId="2" applyFont="1" applyBorder="1" applyAlignment="1">
      <alignment vertical="center"/>
    </xf>
    <xf numFmtId="0" fontId="52" fillId="0" borderId="5" xfId="2" applyFont="1" applyBorder="1" applyAlignment="1">
      <alignment vertical="center"/>
    </xf>
    <xf numFmtId="0" fontId="50" fillId="0" borderId="0" xfId="2" applyFont="1" applyAlignment="1">
      <alignment vertical="center"/>
    </xf>
    <xf numFmtId="0" fontId="53" fillId="2" borderId="24" xfId="2" applyFont="1" applyFill="1" applyBorder="1" applyAlignment="1">
      <alignment horizontal="center" vertical="center" wrapText="1"/>
    </xf>
    <xf numFmtId="38" fontId="53" fillId="2" borderId="24" xfId="2" applyNumberFormat="1" applyFont="1" applyFill="1" applyBorder="1" applyAlignment="1">
      <alignment vertical="center" wrapText="1"/>
    </xf>
    <xf numFmtId="0" fontId="54" fillId="2" borderId="24" xfId="2" applyFont="1" applyFill="1" applyBorder="1" applyAlignment="1">
      <alignment vertical="center" wrapText="1"/>
    </xf>
    <xf numFmtId="0" fontId="54" fillId="2" borderId="24" xfId="2" applyFont="1" applyFill="1" applyBorder="1" applyAlignment="1">
      <alignment vertical="center"/>
    </xf>
    <xf numFmtId="0" fontId="54" fillId="2" borderId="2" xfId="2" applyFont="1" applyFill="1" applyBorder="1" applyAlignment="1">
      <alignment vertical="center"/>
    </xf>
    <xf numFmtId="40" fontId="49" fillId="0" borderId="0" xfId="2" applyNumberFormat="1" applyFont="1" applyAlignment="1">
      <alignment vertical="center"/>
    </xf>
    <xf numFmtId="0" fontId="55" fillId="0" borderId="0" xfId="2" applyFont="1" applyAlignment="1">
      <alignment horizontal="left" vertical="center"/>
    </xf>
    <xf numFmtId="0" fontId="56" fillId="0" borderId="0" xfId="2" applyFont="1" applyAlignment="1">
      <alignment vertical="center"/>
    </xf>
    <xf numFmtId="0" fontId="48" fillId="0" borderId="0" xfId="2" applyFont="1" applyAlignment="1">
      <alignment horizontal="left" vertical="center" wrapText="1"/>
    </xf>
    <xf numFmtId="0" fontId="15" fillId="0" borderId="0" xfId="2" applyAlignment="1">
      <alignment vertical="center"/>
    </xf>
    <xf numFmtId="0" fontId="9" fillId="0" borderId="4" xfId="0" applyFont="1" applyBorder="1" applyAlignment="1">
      <alignment horizontal="center" vertical="center"/>
    </xf>
    <xf numFmtId="0" fontId="5" fillId="0" borderId="7" xfId="0" applyFont="1" applyBorder="1" applyAlignment="1">
      <alignment vertical="center"/>
    </xf>
    <xf numFmtId="0" fontId="5" fillId="0" borderId="9" xfId="0" applyFont="1" applyBorder="1" applyAlignment="1">
      <alignment vertical="center"/>
    </xf>
    <xf numFmtId="0" fontId="9" fillId="5" borderId="4" xfId="0" applyFont="1" applyFill="1" applyBorder="1" applyAlignment="1">
      <alignment vertical="center" wrapText="1"/>
    </xf>
    <xf numFmtId="0" fontId="36" fillId="0" borderId="0" xfId="0" applyFont="1" applyAlignment="1">
      <alignment horizontal="left" vertical="center" wrapText="1"/>
    </xf>
    <xf numFmtId="0" fontId="20" fillId="0" borderId="0" xfId="1" applyAlignment="1">
      <alignment horizontal="left" vertical="center"/>
    </xf>
    <xf numFmtId="0" fontId="48" fillId="0" borderId="0" xfId="2" applyFont="1" applyAlignment="1">
      <alignment horizontal="left" vertical="center" wrapText="1"/>
    </xf>
    <xf numFmtId="0" fontId="45" fillId="0" borderId="0" xfId="1" applyFont="1" applyAlignment="1">
      <alignment horizontal="left" vertical="center"/>
    </xf>
    <xf numFmtId="0" fontId="7" fillId="0" borderId="11" xfId="0" applyFont="1" applyBorder="1" applyAlignment="1">
      <alignment horizontal="left" vertical="center" wrapText="1"/>
    </xf>
    <xf numFmtId="0" fontId="7" fillId="0" borderId="12" xfId="0" applyFont="1" applyBorder="1" applyAlignment="1">
      <alignment horizontal="left" vertical="center"/>
    </xf>
    <xf numFmtId="0" fontId="27" fillId="0" borderId="13" xfId="0" applyFont="1" applyBorder="1" applyAlignment="1">
      <alignment horizontal="center" vertical="center"/>
    </xf>
    <xf numFmtId="0" fontId="27" fillId="0" borderId="14" xfId="0" applyFont="1" applyBorder="1" applyAlignment="1">
      <alignment horizontal="center" vertical="center"/>
    </xf>
    <xf numFmtId="0" fontId="27" fillId="0" borderId="15" xfId="0" applyFont="1" applyBorder="1" applyAlignment="1">
      <alignment horizontal="center" vertical="center"/>
    </xf>
    <xf numFmtId="0" fontId="27" fillId="0" borderId="21" xfId="0" applyFont="1" applyBorder="1" applyAlignment="1">
      <alignment horizontal="center" vertical="center"/>
    </xf>
    <xf numFmtId="0" fontId="27" fillId="0" borderId="22" xfId="0" applyFont="1" applyBorder="1" applyAlignment="1">
      <alignment horizontal="center" vertical="center"/>
    </xf>
    <xf numFmtId="0" fontId="27" fillId="0" borderId="23" xfId="0" applyFont="1" applyBorder="1" applyAlignment="1">
      <alignment horizontal="center" vertical="center"/>
    </xf>
  </cellXfs>
  <cellStyles count="3">
    <cellStyle name="Normal 2" xfId="2" xr:uid="{5D3D79BA-1D67-7B40-B262-2A24BEA7F799}"/>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306293</xdr:colOff>
      <xdr:row>3</xdr:row>
      <xdr:rowOff>201707</xdr:rowOff>
    </xdr:from>
    <xdr:to>
      <xdr:col>2</xdr:col>
      <xdr:colOff>5266763</xdr:colOff>
      <xdr:row>3</xdr:row>
      <xdr:rowOff>1452376</xdr:rowOff>
    </xdr:to>
    <xdr:pic>
      <xdr:nvPicPr>
        <xdr:cNvPr id="3" name="圖片 2">
          <a:extLst>
            <a:ext uri="{FF2B5EF4-FFF2-40B4-BE49-F238E27FC236}">
              <a16:creationId xmlns:a16="http://schemas.microsoft.com/office/drawing/2014/main" id="{F9D903EB-A6A8-2789-B35E-12B6831A4A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3352" y="1113119"/>
          <a:ext cx="4960470" cy="12506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306293</xdr:colOff>
      <xdr:row>19</xdr:row>
      <xdr:rowOff>340005</xdr:rowOff>
    </xdr:from>
    <xdr:to>
      <xdr:col>2</xdr:col>
      <xdr:colOff>5414696</xdr:colOff>
      <xdr:row>19</xdr:row>
      <xdr:rowOff>1654327</xdr:rowOff>
    </xdr:to>
    <xdr:pic>
      <xdr:nvPicPr>
        <xdr:cNvPr id="4" name="圖片 3">
          <a:extLst>
            <a:ext uri="{FF2B5EF4-FFF2-40B4-BE49-F238E27FC236}">
              <a16:creationId xmlns:a16="http://schemas.microsoft.com/office/drawing/2014/main" id="{3D466892-8541-B3B9-14DF-866E0FD1F0A8}"/>
            </a:ext>
          </a:extLst>
        </xdr:cNvPr>
        <xdr:cNvPicPr>
          <a:picLocks noChangeAspect="1"/>
        </xdr:cNvPicPr>
      </xdr:nvPicPr>
      <xdr:blipFill>
        <a:blip xmlns:r="http://schemas.openxmlformats.org/officeDocument/2006/relationships" r:embed="rId2"/>
        <a:stretch>
          <a:fillRect/>
        </a:stretch>
      </xdr:blipFill>
      <xdr:spPr>
        <a:xfrm>
          <a:off x="2323352" y="10380476"/>
          <a:ext cx="5108403" cy="13143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26670</xdr:colOff>
      <xdr:row>4</xdr:row>
      <xdr:rowOff>168909</xdr:rowOff>
    </xdr:from>
    <xdr:to>
      <xdr:col>11</xdr:col>
      <xdr:colOff>26670</xdr:colOff>
      <xdr:row>78</xdr:row>
      <xdr:rowOff>93544</xdr:rowOff>
    </xdr:to>
    <xdr:pic>
      <xdr:nvPicPr>
        <xdr:cNvPr id="2" name="圖片 1">
          <a:extLst>
            <a:ext uri="{FF2B5EF4-FFF2-40B4-BE49-F238E27FC236}">
              <a16:creationId xmlns:a16="http://schemas.microsoft.com/office/drawing/2014/main" id="{B5871D95-4AD3-4CFB-BF78-91B08C2FDABB}"/>
            </a:ext>
          </a:extLst>
        </xdr:cNvPr>
        <xdr:cNvPicPr>
          <a:picLocks noChangeAspect="1"/>
        </xdr:cNvPicPr>
      </xdr:nvPicPr>
      <xdr:blipFill rotWithShape="1">
        <a:blip xmlns:r="http://schemas.openxmlformats.org/officeDocument/2006/relationships" r:embed="rId1"/>
        <a:srcRect l="5902" t="10507" r="31751" b="4509"/>
        <a:stretch/>
      </xdr:blipFill>
      <xdr:spPr>
        <a:xfrm>
          <a:off x="26670" y="994409"/>
          <a:ext cx="8382000" cy="1451058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hyperlink" Target="https://www.edu.tw/Content_List.aspx?n=A61CAD76B12DCFB9" TargetMode="External"/><Relationship Id="rId1" Type="http://schemas.openxmlformats.org/officeDocument/2006/relationships/hyperlink" Target="https://www.edu.tw/Content_List.aspx?n=A61CAD76B12DCFB9"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edu.tw/Content_List.aspx?n=A61CAD76B12DCFB9" TargetMode="External"/><Relationship Id="rId1" Type="http://schemas.openxmlformats.org/officeDocument/2006/relationships/hyperlink" Target="https://www.edu.tw/Content_List.aspx?n=A61CAD76B12DCFB9"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www.edu.tw/Content_List.aspx?n=A61CAD76B12DCFB9" TargetMode="External"/><Relationship Id="rId1" Type="http://schemas.openxmlformats.org/officeDocument/2006/relationships/hyperlink" Target="https://www.edu.tw/Content_List.aspx?n=A61CAD76B12DCFB9"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edu.tw/Content_List.aspx?n=A61CAD76B12DCFB9"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www.edu.tw/Content_List.aspx?n=A61CAD76B12DCFB9" TargetMode="External"/><Relationship Id="rId1" Type="http://schemas.openxmlformats.org/officeDocument/2006/relationships/hyperlink" Target="https://www.edu.tw/Content_List.aspx?n=A61CAD76B12DCFB9"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spreadsheets/d/19tiH5di43XUyht2Iaq2zUeDYeMP8KOHCZauKNVACkvk/edit?usp=sharing"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2" Type="http://schemas.openxmlformats.org/officeDocument/2006/relationships/hyperlink" Target="https://docs.google.com/document/d/1qETPyytkntdVFsLXRdciFmNCa0y9dTB7Jz8QAi7LPG4/edit" TargetMode="External"/><Relationship Id="rId1" Type="http://schemas.openxmlformats.org/officeDocument/2006/relationships/hyperlink" Target="http://infinitiessoft.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C687C-C93A-6544-9843-6F1D80DADA00}">
  <sheetPr>
    <pageSetUpPr fitToPage="1"/>
  </sheetPr>
  <dimension ref="A1:J798"/>
  <sheetViews>
    <sheetView tabSelected="1" zoomScale="110" zoomScaleNormal="110" workbookViewId="0">
      <pane ySplit="1" topLeftCell="A2" activePane="bottomLeft" state="frozen"/>
      <selection pane="bottomLeft" activeCell="C48" sqref="C48"/>
    </sheetView>
  </sheetViews>
  <sheetFormatPr baseColWidth="10" defaultColWidth="11.140625" defaultRowHeight="15" customHeight="1" outlineLevelRow="1"/>
  <cols>
    <col min="1" max="1" width="18.85546875" style="98" customWidth="1"/>
    <col min="2" max="2" width="14.5703125" style="98" customWidth="1"/>
    <col min="3" max="3" width="48.85546875" style="98" bestFit="1" customWidth="1"/>
    <col min="4" max="4" width="24.28515625" style="98" bestFit="1" customWidth="1"/>
    <col min="5" max="5" width="17.7109375" style="98" customWidth="1"/>
    <col min="6" max="6" width="9.140625" style="98" customWidth="1"/>
    <col min="7" max="8" width="11.28515625" style="99" bestFit="1" customWidth="1"/>
    <col min="9" max="9" width="12.85546875" style="100" customWidth="1"/>
    <col min="10" max="10" width="12.7109375" style="100" customWidth="1"/>
    <col min="11" max="24" width="6.85546875" style="98" customWidth="1"/>
    <col min="25" max="16384" width="11.140625" style="98"/>
  </cols>
  <sheetData>
    <row r="1" spans="1:10" ht="24">
      <c r="A1" s="97" t="s">
        <v>412</v>
      </c>
      <c r="B1" s="97"/>
    </row>
    <row r="2" spans="1:10" ht="38" thickBot="1">
      <c r="A2" s="121" t="s">
        <v>506</v>
      </c>
      <c r="B2" s="101"/>
    </row>
    <row r="3" spans="1:10" ht="30" outlineLevel="1">
      <c r="A3" s="103" t="s">
        <v>222</v>
      </c>
      <c r="B3" s="103" t="s">
        <v>0</v>
      </c>
      <c r="C3" s="103" t="s">
        <v>1</v>
      </c>
      <c r="D3" s="103" t="s">
        <v>2</v>
      </c>
      <c r="E3" s="122" t="s">
        <v>3</v>
      </c>
      <c r="F3" s="122" t="s">
        <v>4</v>
      </c>
      <c r="G3" s="123" t="s">
        <v>415</v>
      </c>
      <c r="H3" s="123" t="s">
        <v>416</v>
      </c>
      <c r="I3" s="107" t="s">
        <v>559</v>
      </c>
      <c r="J3" s="107" t="s">
        <v>560</v>
      </c>
    </row>
    <row r="4" spans="1:10" ht="16.5" customHeight="1" outlineLevel="1" thickBot="1">
      <c r="A4" s="108" t="s">
        <v>507</v>
      </c>
      <c r="B4" s="109" t="s">
        <v>5</v>
      </c>
      <c r="C4" s="109" t="s">
        <v>6</v>
      </c>
      <c r="D4" s="110" t="s">
        <v>7</v>
      </c>
      <c r="E4" s="111" t="s">
        <v>8</v>
      </c>
      <c r="F4" s="112">
        <v>1</v>
      </c>
      <c r="G4" s="113">
        <v>300000</v>
      </c>
      <c r="H4" s="113">
        <v>10800</v>
      </c>
      <c r="I4" s="114">
        <f t="shared" ref="I4:J13" si="0">G4*0.5</f>
        <v>150000</v>
      </c>
      <c r="J4" s="114">
        <f t="shared" si="0"/>
        <v>5400</v>
      </c>
    </row>
    <row r="5" spans="1:10" ht="16.5" customHeight="1" outlineLevel="1" thickBot="1">
      <c r="A5" s="108" t="s">
        <v>508</v>
      </c>
      <c r="B5" s="109" t="s">
        <v>5</v>
      </c>
      <c r="C5" s="109" t="s">
        <v>241</v>
      </c>
      <c r="D5" s="110" t="s">
        <v>7</v>
      </c>
      <c r="E5" s="111" t="s">
        <v>8</v>
      </c>
      <c r="F5" s="112">
        <v>1</v>
      </c>
      <c r="G5" s="113">
        <f>G4*8*0.8</f>
        <v>1920000</v>
      </c>
      <c r="H5" s="113">
        <f>H4*8*0.8</f>
        <v>69120</v>
      </c>
      <c r="I5" s="114">
        <f t="shared" si="0"/>
        <v>960000</v>
      </c>
      <c r="J5" s="114">
        <f t="shared" si="0"/>
        <v>34560</v>
      </c>
    </row>
    <row r="6" spans="1:10" ht="16.5" customHeight="1" outlineLevel="1" thickBot="1">
      <c r="A6" s="108" t="s">
        <v>509</v>
      </c>
      <c r="B6" s="109" t="s">
        <v>5</v>
      </c>
      <c r="C6" s="109" t="s">
        <v>301</v>
      </c>
      <c r="D6" s="110" t="s">
        <v>7</v>
      </c>
      <c r="E6" s="111" t="s">
        <v>8</v>
      </c>
      <c r="F6" s="112">
        <v>1</v>
      </c>
      <c r="G6" s="113">
        <f>G4*1.2</f>
        <v>360000</v>
      </c>
      <c r="H6" s="113">
        <f>H4*1.2</f>
        <v>12960</v>
      </c>
      <c r="I6" s="114">
        <f t="shared" si="0"/>
        <v>180000</v>
      </c>
      <c r="J6" s="114">
        <f t="shared" si="0"/>
        <v>6480</v>
      </c>
    </row>
    <row r="7" spans="1:10" ht="16.5" customHeight="1" outlineLevel="1" thickBot="1">
      <c r="A7" s="108" t="s">
        <v>510</v>
      </c>
      <c r="B7" s="109" t="s">
        <v>5</v>
      </c>
      <c r="C7" s="109" t="s">
        <v>302</v>
      </c>
      <c r="D7" s="110" t="s">
        <v>7</v>
      </c>
      <c r="E7" s="111" t="s">
        <v>8</v>
      </c>
      <c r="F7" s="112">
        <v>1</v>
      </c>
      <c r="G7" s="113">
        <f>G6*8*0.8</f>
        <v>2304000</v>
      </c>
      <c r="H7" s="113">
        <f>H6*8*0.8</f>
        <v>82944</v>
      </c>
      <c r="I7" s="114">
        <f t="shared" si="0"/>
        <v>1152000</v>
      </c>
      <c r="J7" s="114">
        <f t="shared" si="0"/>
        <v>41472</v>
      </c>
    </row>
    <row r="8" spans="1:10" ht="16.5" customHeight="1" outlineLevel="1" thickBot="1">
      <c r="A8" s="108" t="s">
        <v>511</v>
      </c>
      <c r="B8" s="109" t="s">
        <v>5</v>
      </c>
      <c r="C8" s="109" t="s">
        <v>303</v>
      </c>
      <c r="D8" s="110" t="s">
        <v>7</v>
      </c>
      <c r="E8" s="111" t="s">
        <v>8</v>
      </c>
      <c r="F8" s="112">
        <v>1</v>
      </c>
      <c r="G8" s="113">
        <f>G4*1.4</f>
        <v>420000</v>
      </c>
      <c r="H8" s="113">
        <f>H4*1.4</f>
        <v>15119.999999999998</v>
      </c>
      <c r="I8" s="114">
        <f t="shared" si="0"/>
        <v>210000</v>
      </c>
      <c r="J8" s="114">
        <f t="shared" si="0"/>
        <v>7559.9999999999991</v>
      </c>
    </row>
    <row r="9" spans="1:10" ht="16.5" customHeight="1" outlineLevel="1" thickBot="1">
      <c r="A9" s="108" t="s">
        <v>743</v>
      </c>
      <c r="B9" s="109" t="s">
        <v>5</v>
      </c>
      <c r="C9" s="109" t="s">
        <v>742</v>
      </c>
      <c r="D9" s="110" t="s">
        <v>7</v>
      </c>
      <c r="E9" s="111" t="s">
        <v>8</v>
      </c>
      <c r="F9" s="112">
        <v>1</v>
      </c>
      <c r="G9" s="113">
        <f>G8*8*0.8</f>
        <v>2688000</v>
      </c>
      <c r="H9" s="113">
        <f>H8*8*0.8</f>
        <v>96768</v>
      </c>
      <c r="I9" s="114">
        <f t="shared" si="0"/>
        <v>1344000</v>
      </c>
      <c r="J9" s="114">
        <f t="shared" si="0"/>
        <v>48384</v>
      </c>
    </row>
    <row r="10" spans="1:10" ht="16.5" customHeight="1" outlineLevel="1" thickBot="1">
      <c r="A10" s="108" t="s">
        <v>512</v>
      </c>
      <c r="B10" s="109" t="s">
        <v>9</v>
      </c>
      <c r="C10" s="109" t="s">
        <v>10</v>
      </c>
      <c r="D10" s="110" t="s">
        <v>11</v>
      </c>
      <c r="E10" s="111" t="s">
        <v>12</v>
      </c>
      <c r="F10" s="112">
        <v>1</v>
      </c>
      <c r="G10" s="113">
        <f>G4*0.2</f>
        <v>60000</v>
      </c>
      <c r="H10" s="113">
        <f>H4*0.2</f>
        <v>2160</v>
      </c>
      <c r="I10" s="114">
        <f t="shared" si="0"/>
        <v>30000</v>
      </c>
      <c r="J10" s="114">
        <f t="shared" si="0"/>
        <v>1080</v>
      </c>
    </row>
    <row r="11" spans="1:10" ht="16.5" customHeight="1" outlineLevel="1" thickBot="1">
      <c r="A11" s="108" t="s">
        <v>513</v>
      </c>
      <c r="B11" s="109" t="s">
        <v>9</v>
      </c>
      <c r="C11" s="109" t="s">
        <v>242</v>
      </c>
      <c r="D11" s="110" t="s">
        <v>11</v>
      </c>
      <c r="E11" s="111" t="s">
        <v>12</v>
      </c>
      <c r="F11" s="112">
        <v>1</v>
      </c>
      <c r="G11" s="113">
        <f>G10*8*0.8</f>
        <v>384000</v>
      </c>
      <c r="H11" s="113">
        <f>H10*8*0.8</f>
        <v>13824</v>
      </c>
      <c r="I11" s="114">
        <f t="shared" si="0"/>
        <v>192000</v>
      </c>
      <c r="J11" s="114">
        <f t="shared" si="0"/>
        <v>6912</v>
      </c>
    </row>
    <row r="12" spans="1:10" ht="16.5" customHeight="1" outlineLevel="1" thickBot="1">
      <c r="A12" s="108" t="s">
        <v>514</v>
      </c>
      <c r="B12" s="109" t="s">
        <v>9</v>
      </c>
      <c r="C12" s="109" t="s">
        <v>13</v>
      </c>
      <c r="D12" s="110" t="s">
        <v>14</v>
      </c>
      <c r="E12" s="112" t="s">
        <v>15</v>
      </c>
      <c r="F12" s="112">
        <v>1</v>
      </c>
      <c r="G12" s="113">
        <f>(G4-G39)*1.3</f>
        <v>130000</v>
      </c>
      <c r="H12" s="113">
        <f>(H4-H39)*1.3</f>
        <v>4680</v>
      </c>
      <c r="I12" s="114">
        <f t="shared" si="0"/>
        <v>65000</v>
      </c>
      <c r="J12" s="114">
        <f t="shared" si="0"/>
        <v>2340</v>
      </c>
    </row>
    <row r="13" spans="1:10" ht="16.5" customHeight="1" outlineLevel="1" thickBot="1">
      <c r="A13" s="108" t="s">
        <v>515</v>
      </c>
      <c r="B13" s="109" t="s">
        <v>9</v>
      </c>
      <c r="C13" s="109" t="s">
        <v>243</v>
      </c>
      <c r="D13" s="110" t="s">
        <v>14</v>
      </c>
      <c r="E13" s="112" t="s">
        <v>15</v>
      </c>
      <c r="F13" s="112">
        <v>1</v>
      </c>
      <c r="G13" s="113">
        <f>G12*8*0.8</f>
        <v>832000</v>
      </c>
      <c r="H13" s="113">
        <f>H12*8*0.8</f>
        <v>29952</v>
      </c>
      <c r="I13" s="114">
        <f t="shared" si="0"/>
        <v>416000</v>
      </c>
      <c r="J13" s="114">
        <f t="shared" si="0"/>
        <v>14976</v>
      </c>
    </row>
    <row r="14" spans="1:10" ht="16.5" customHeight="1" outlineLevel="1" thickBot="1">
      <c r="A14" s="108"/>
      <c r="B14" s="109"/>
      <c r="C14" s="109"/>
      <c r="D14" s="110"/>
      <c r="E14" s="112"/>
      <c r="F14" s="112"/>
      <c r="G14" s="113"/>
      <c r="H14" s="113"/>
      <c r="I14" s="114"/>
      <c r="J14" s="114"/>
    </row>
    <row r="15" spans="1:10" ht="16.5" customHeight="1" outlineLevel="1" thickBot="1">
      <c r="A15" s="108" t="s">
        <v>516</v>
      </c>
      <c r="B15" s="109" t="s">
        <v>9</v>
      </c>
      <c r="C15" s="109" t="s">
        <v>16</v>
      </c>
      <c r="D15" s="110" t="s">
        <v>7</v>
      </c>
      <c r="E15" s="111" t="s">
        <v>8</v>
      </c>
      <c r="F15" s="112">
        <v>1</v>
      </c>
      <c r="G15" s="113">
        <f>G4/2</f>
        <v>150000</v>
      </c>
      <c r="H15" s="113">
        <f>H4/2</f>
        <v>5400</v>
      </c>
      <c r="I15" s="114">
        <f t="shared" ref="I15:J24" si="1">G15*0.5</f>
        <v>75000</v>
      </c>
      <c r="J15" s="114">
        <f t="shared" si="1"/>
        <v>2700</v>
      </c>
    </row>
    <row r="16" spans="1:10" ht="16.5" customHeight="1" outlineLevel="1" thickBot="1">
      <c r="A16" s="108" t="s">
        <v>517</v>
      </c>
      <c r="B16" s="109" t="s">
        <v>9</v>
      </c>
      <c r="C16" s="109" t="s">
        <v>244</v>
      </c>
      <c r="D16" s="110" t="s">
        <v>7</v>
      </c>
      <c r="E16" s="111" t="s">
        <v>8</v>
      </c>
      <c r="F16" s="112">
        <v>1</v>
      </c>
      <c r="G16" s="113">
        <f>G15*8*0.8</f>
        <v>960000</v>
      </c>
      <c r="H16" s="113">
        <f>H15*8*0.8</f>
        <v>34560</v>
      </c>
      <c r="I16" s="114">
        <f t="shared" si="1"/>
        <v>480000</v>
      </c>
      <c r="J16" s="114">
        <f t="shared" si="1"/>
        <v>17280</v>
      </c>
    </row>
    <row r="17" spans="1:10" ht="16.5" customHeight="1" outlineLevel="1" thickBot="1">
      <c r="A17" s="108" t="s">
        <v>518</v>
      </c>
      <c r="B17" s="109" t="s">
        <v>9</v>
      </c>
      <c r="C17" s="109" t="s">
        <v>304</v>
      </c>
      <c r="D17" s="110" t="s">
        <v>7</v>
      </c>
      <c r="E17" s="111" t="s">
        <v>8</v>
      </c>
      <c r="F17" s="112">
        <v>1</v>
      </c>
      <c r="G17" s="113">
        <f>G15*1.2</f>
        <v>180000</v>
      </c>
      <c r="H17" s="113">
        <f>H15*1.2</f>
        <v>6480</v>
      </c>
      <c r="I17" s="114">
        <f t="shared" si="1"/>
        <v>90000</v>
      </c>
      <c r="J17" s="114">
        <f t="shared" si="1"/>
        <v>3240</v>
      </c>
    </row>
    <row r="18" spans="1:10" ht="16.5" customHeight="1" outlineLevel="1" thickBot="1">
      <c r="A18" s="108" t="s">
        <v>519</v>
      </c>
      <c r="B18" s="109" t="s">
        <v>9</v>
      </c>
      <c r="C18" s="109" t="s">
        <v>305</v>
      </c>
      <c r="D18" s="110" t="s">
        <v>7</v>
      </c>
      <c r="E18" s="111" t="s">
        <v>8</v>
      </c>
      <c r="F18" s="112">
        <v>1</v>
      </c>
      <c r="G18" s="113">
        <f>G17*8*0.8</f>
        <v>1152000</v>
      </c>
      <c r="H18" s="113">
        <f>H17*8*0.8</f>
        <v>41472</v>
      </c>
      <c r="I18" s="114">
        <f t="shared" si="1"/>
        <v>576000</v>
      </c>
      <c r="J18" s="114">
        <f t="shared" si="1"/>
        <v>20736</v>
      </c>
    </row>
    <row r="19" spans="1:10" ht="16.5" customHeight="1" outlineLevel="1" thickBot="1">
      <c r="A19" s="108" t="s">
        <v>741</v>
      </c>
      <c r="B19" s="109" t="s">
        <v>9</v>
      </c>
      <c r="C19" s="109" t="s">
        <v>740</v>
      </c>
      <c r="D19" s="110" t="s">
        <v>7</v>
      </c>
      <c r="E19" s="111" t="s">
        <v>8</v>
      </c>
      <c r="F19" s="112">
        <v>1</v>
      </c>
      <c r="G19" s="113">
        <f>G15*1.4</f>
        <v>210000</v>
      </c>
      <c r="H19" s="113">
        <f>H15*1.4</f>
        <v>7559.9999999999991</v>
      </c>
      <c r="I19" s="114">
        <f t="shared" si="1"/>
        <v>105000</v>
      </c>
      <c r="J19" s="114">
        <f t="shared" si="1"/>
        <v>3779.9999999999995</v>
      </c>
    </row>
    <row r="20" spans="1:10" ht="16.5" customHeight="1" outlineLevel="1" thickBot="1">
      <c r="A20" s="108" t="s">
        <v>745</v>
      </c>
      <c r="B20" s="109" t="s">
        <v>9</v>
      </c>
      <c r="C20" s="109" t="s">
        <v>744</v>
      </c>
      <c r="D20" s="110" t="s">
        <v>7</v>
      </c>
      <c r="E20" s="111" t="s">
        <v>8</v>
      </c>
      <c r="F20" s="112">
        <v>1</v>
      </c>
      <c r="G20" s="113">
        <f>G19*8*0.8</f>
        <v>1344000</v>
      </c>
      <c r="H20" s="113">
        <f>H19*8*0.8</f>
        <v>48384</v>
      </c>
      <c r="I20" s="114">
        <f t="shared" si="1"/>
        <v>672000</v>
      </c>
      <c r="J20" s="114">
        <f t="shared" si="1"/>
        <v>24192</v>
      </c>
    </row>
    <row r="21" spans="1:10" ht="16.5" customHeight="1" outlineLevel="1" thickBot="1">
      <c r="A21" s="108" t="s">
        <v>520</v>
      </c>
      <c r="B21" s="109" t="s">
        <v>9</v>
      </c>
      <c r="C21" s="109" t="s">
        <v>17</v>
      </c>
      <c r="D21" s="110" t="s">
        <v>11</v>
      </c>
      <c r="E21" s="111" t="s">
        <v>12</v>
      </c>
      <c r="F21" s="112">
        <v>1</v>
      </c>
      <c r="G21" s="113">
        <f>G15*0.2</f>
        <v>30000</v>
      </c>
      <c r="H21" s="113">
        <f>H15*0.2</f>
        <v>1080</v>
      </c>
      <c r="I21" s="114">
        <f t="shared" si="1"/>
        <v>15000</v>
      </c>
      <c r="J21" s="114">
        <f t="shared" si="1"/>
        <v>540</v>
      </c>
    </row>
    <row r="22" spans="1:10" ht="16.5" customHeight="1" outlineLevel="1" thickBot="1">
      <c r="A22" s="108" t="s">
        <v>521</v>
      </c>
      <c r="B22" s="109" t="s">
        <v>9</v>
      </c>
      <c r="C22" s="109" t="s">
        <v>245</v>
      </c>
      <c r="D22" s="110" t="s">
        <v>11</v>
      </c>
      <c r="E22" s="111" t="s">
        <v>12</v>
      </c>
      <c r="F22" s="112">
        <v>1</v>
      </c>
      <c r="G22" s="113">
        <f>G21*8*0.8</f>
        <v>192000</v>
      </c>
      <c r="H22" s="113">
        <f>H21*8*0.8</f>
        <v>6912</v>
      </c>
      <c r="I22" s="114">
        <f t="shared" si="1"/>
        <v>96000</v>
      </c>
      <c r="J22" s="114">
        <f t="shared" si="1"/>
        <v>3456</v>
      </c>
    </row>
    <row r="23" spans="1:10" ht="16.5" customHeight="1" outlineLevel="1" thickBot="1">
      <c r="A23" s="108" t="s">
        <v>522</v>
      </c>
      <c r="B23" s="109" t="s">
        <v>9</v>
      </c>
      <c r="C23" s="109" t="s">
        <v>18</v>
      </c>
      <c r="D23" s="110" t="s">
        <v>14</v>
      </c>
      <c r="E23" s="112" t="s">
        <v>15</v>
      </c>
      <c r="F23" s="112">
        <v>1</v>
      </c>
      <c r="G23" s="113">
        <f>(G15-G48)*1.3</f>
        <v>65000</v>
      </c>
      <c r="H23" s="113">
        <f>(H15-H48)*1.3</f>
        <v>2340</v>
      </c>
      <c r="I23" s="114">
        <f t="shared" si="1"/>
        <v>32500</v>
      </c>
      <c r="J23" s="114">
        <f t="shared" si="1"/>
        <v>1170</v>
      </c>
    </row>
    <row r="24" spans="1:10" ht="16.5" customHeight="1" outlineLevel="1" thickBot="1">
      <c r="A24" s="108" t="s">
        <v>523</v>
      </c>
      <c r="B24" s="109" t="s">
        <v>9</v>
      </c>
      <c r="C24" s="109" t="s">
        <v>246</v>
      </c>
      <c r="D24" s="110" t="s">
        <v>14</v>
      </c>
      <c r="E24" s="112" t="s">
        <v>15</v>
      </c>
      <c r="F24" s="112">
        <v>1</v>
      </c>
      <c r="G24" s="113">
        <f>G23*8*0.8</f>
        <v>416000</v>
      </c>
      <c r="H24" s="113">
        <f>H23*8*0.8</f>
        <v>14976</v>
      </c>
      <c r="I24" s="114">
        <f t="shared" si="1"/>
        <v>208000</v>
      </c>
      <c r="J24" s="114">
        <f t="shared" si="1"/>
        <v>7488</v>
      </c>
    </row>
    <row r="25" spans="1:10" ht="16.5" customHeight="1" outlineLevel="1" thickBot="1">
      <c r="A25" s="108"/>
      <c r="B25" s="109"/>
      <c r="C25" s="109"/>
      <c r="D25" s="110"/>
      <c r="E25" s="112"/>
      <c r="F25" s="112"/>
      <c r="G25" s="113"/>
      <c r="H25" s="113"/>
      <c r="I25" s="114"/>
      <c r="J25" s="114"/>
    </row>
    <row r="26" spans="1:10" ht="16.5" customHeight="1" outlineLevel="1" thickBot="1">
      <c r="A26" s="108" t="s">
        <v>524</v>
      </c>
      <c r="B26" s="109" t="s">
        <v>9</v>
      </c>
      <c r="C26" s="109" t="s">
        <v>19</v>
      </c>
      <c r="D26" s="110" t="s">
        <v>7</v>
      </c>
      <c r="E26" s="111" t="s">
        <v>8</v>
      </c>
      <c r="F26" s="112">
        <v>1</v>
      </c>
      <c r="G26" s="113">
        <f>G4/4</f>
        <v>75000</v>
      </c>
      <c r="H26" s="113">
        <f>H4/4</f>
        <v>2700</v>
      </c>
      <c r="I26" s="114">
        <f t="shared" ref="I26:J35" si="2">G26*0.5</f>
        <v>37500</v>
      </c>
      <c r="J26" s="114">
        <f t="shared" si="2"/>
        <v>1350</v>
      </c>
    </row>
    <row r="27" spans="1:10" ht="16.5" customHeight="1" outlineLevel="1" thickBot="1">
      <c r="A27" s="108" t="s">
        <v>525</v>
      </c>
      <c r="B27" s="109" t="s">
        <v>9</v>
      </c>
      <c r="C27" s="109" t="s">
        <v>247</v>
      </c>
      <c r="D27" s="110" t="s">
        <v>7</v>
      </c>
      <c r="E27" s="111" t="s">
        <v>8</v>
      </c>
      <c r="F27" s="112">
        <v>1</v>
      </c>
      <c r="G27" s="113">
        <f>G26*8*0.8</f>
        <v>480000</v>
      </c>
      <c r="H27" s="113">
        <f>H26*8*0.8</f>
        <v>17280</v>
      </c>
      <c r="I27" s="114">
        <f t="shared" si="2"/>
        <v>240000</v>
      </c>
      <c r="J27" s="114">
        <f t="shared" si="2"/>
        <v>8640</v>
      </c>
    </row>
    <row r="28" spans="1:10" ht="16.5" customHeight="1" outlineLevel="1" thickBot="1">
      <c r="A28" s="108" t="s">
        <v>526</v>
      </c>
      <c r="B28" s="109" t="s">
        <v>9</v>
      </c>
      <c r="C28" s="109" t="s">
        <v>306</v>
      </c>
      <c r="D28" s="110" t="s">
        <v>7</v>
      </c>
      <c r="E28" s="111" t="s">
        <v>8</v>
      </c>
      <c r="F28" s="112">
        <v>1</v>
      </c>
      <c r="G28" s="113">
        <f>G26*1.2</f>
        <v>90000</v>
      </c>
      <c r="H28" s="113">
        <f>H26*1.2</f>
        <v>3240</v>
      </c>
      <c r="I28" s="114">
        <f t="shared" si="2"/>
        <v>45000</v>
      </c>
      <c r="J28" s="114">
        <f t="shared" si="2"/>
        <v>1620</v>
      </c>
    </row>
    <row r="29" spans="1:10" ht="16.5" customHeight="1" outlineLevel="1" thickBot="1">
      <c r="A29" s="108" t="s">
        <v>527</v>
      </c>
      <c r="B29" s="109" t="s">
        <v>9</v>
      </c>
      <c r="C29" s="109" t="s">
        <v>307</v>
      </c>
      <c r="D29" s="110" t="s">
        <v>7</v>
      </c>
      <c r="E29" s="111" t="s">
        <v>8</v>
      </c>
      <c r="F29" s="112">
        <v>1</v>
      </c>
      <c r="G29" s="113">
        <f>G28*8*0.8</f>
        <v>576000</v>
      </c>
      <c r="H29" s="113">
        <f>H28*8*0.8</f>
        <v>20736</v>
      </c>
      <c r="I29" s="114">
        <f t="shared" si="2"/>
        <v>288000</v>
      </c>
      <c r="J29" s="114">
        <f t="shared" si="2"/>
        <v>10368</v>
      </c>
    </row>
    <row r="30" spans="1:10" ht="16.5" customHeight="1" outlineLevel="1" thickBot="1">
      <c r="A30" s="108" t="s">
        <v>528</v>
      </c>
      <c r="B30" s="109" t="s">
        <v>9</v>
      </c>
      <c r="C30" s="109" t="s">
        <v>308</v>
      </c>
      <c r="D30" s="110" t="s">
        <v>7</v>
      </c>
      <c r="E30" s="111" t="s">
        <v>8</v>
      </c>
      <c r="F30" s="112">
        <v>1</v>
      </c>
      <c r="G30" s="113">
        <f>G26*1.4</f>
        <v>105000</v>
      </c>
      <c r="H30" s="113">
        <f>H26*1.4</f>
        <v>3779.9999999999995</v>
      </c>
      <c r="I30" s="114">
        <f t="shared" si="2"/>
        <v>52500</v>
      </c>
      <c r="J30" s="114">
        <f t="shared" si="2"/>
        <v>1889.9999999999998</v>
      </c>
    </row>
    <row r="31" spans="1:10" ht="16.5" customHeight="1" outlineLevel="1" thickBot="1">
      <c r="A31" s="108" t="s">
        <v>529</v>
      </c>
      <c r="B31" s="109" t="s">
        <v>9</v>
      </c>
      <c r="C31" s="109" t="s">
        <v>309</v>
      </c>
      <c r="D31" s="110" t="s">
        <v>7</v>
      </c>
      <c r="E31" s="111" t="s">
        <v>8</v>
      </c>
      <c r="F31" s="112">
        <v>1</v>
      </c>
      <c r="G31" s="113">
        <f>G30*8*0.8</f>
        <v>672000</v>
      </c>
      <c r="H31" s="113">
        <f>H30*8*0.8</f>
        <v>24192</v>
      </c>
      <c r="I31" s="114">
        <f t="shared" si="2"/>
        <v>336000</v>
      </c>
      <c r="J31" s="114">
        <f t="shared" si="2"/>
        <v>12096</v>
      </c>
    </row>
    <row r="32" spans="1:10" ht="16.5" customHeight="1" outlineLevel="1" thickBot="1">
      <c r="A32" s="108" t="s">
        <v>530</v>
      </c>
      <c r="B32" s="109" t="s">
        <v>9</v>
      </c>
      <c r="C32" s="109" t="s">
        <v>20</v>
      </c>
      <c r="D32" s="110" t="s">
        <v>11</v>
      </c>
      <c r="E32" s="111" t="s">
        <v>12</v>
      </c>
      <c r="F32" s="112">
        <v>1</v>
      </c>
      <c r="G32" s="113">
        <f>G26*0.2</f>
        <v>15000</v>
      </c>
      <c r="H32" s="113">
        <f>H26*0.2</f>
        <v>540</v>
      </c>
      <c r="I32" s="114">
        <f t="shared" si="2"/>
        <v>7500</v>
      </c>
      <c r="J32" s="114">
        <f t="shared" si="2"/>
        <v>270</v>
      </c>
    </row>
    <row r="33" spans="1:10" ht="16.5" customHeight="1" outlineLevel="1" thickBot="1">
      <c r="A33" s="108" t="s">
        <v>531</v>
      </c>
      <c r="B33" s="109" t="s">
        <v>9</v>
      </c>
      <c r="C33" s="109" t="s">
        <v>248</v>
      </c>
      <c r="D33" s="110" t="s">
        <v>11</v>
      </c>
      <c r="E33" s="111" t="s">
        <v>12</v>
      </c>
      <c r="F33" s="112">
        <v>1</v>
      </c>
      <c r="G33" s="113">
        <f>G32*8*0.8</f>
        <v>96000</v>
      </c>
      <c r="H33" s="113">
        <f>H32*8*0.8</f>
        <v>3456</v>
      </c>
      <c r="I33" s="114">
        <f t="shared" si="2"/>
        <v>48000</v>
      </c>
      <c r="J33" s="114">
        <f t="shared" si="2"/>
        <v>1728</v>
      </c>
    </row>
    <row r="34" spans="1:10" ht="16.5" customHeight="1" outlineLevel="1" thickBot="1">
      <c r="A34" s="108" t="s">
        <v>532</v>
      </c>
      <c r="B34" s="109" t="s">
        <v>9</v>
      </c>
      <c r="C34" s="109" t="s">
        <v>21</v>
      </c>
      <c r="D34" s="110" t="s">
        <v>14</v>
      </c>
      <c r="E34" s="112" t="s">
        <v>15</v>
      </c>
      <c r="F34" s="112">
        <v>1</v>
      </c>
      <c r="G34" s="113">
        <f>(G26-G59)*1.3</f>
        <v>19500</v>
      </c>
      <c r="H34" s="113">
        <f>(H26-H59)*1.3</f>
        <v>702</v>
      </c>
      <c r="I34" s="114">
        <f t="shared" si="2"/>
        <v>9750</v>
      </c>
      <c r="J34" s="114">
        <f t="shared" si="2"/>
        <v>351</v>
      </c>
    </row>
    <row r="35" spans="1:10" ht="16.5" customHeight="1" outlineLevel="1" thickBot="1">
      <c r="A35" s="108" t="s">
        <v>533</v>
      </c>
      <c r="B35" s="109" t="s">
        <v>9</v>
      </c>
      <c r="C35" s="109" t="s">
        <v>249</v>
      </c>
      <c r="D35" s="110" t="s">
        <v>14</v>
      </c>
      <c r="E35" s="112" t="s">
        <v>15</v>
      </c>
      <c r="F35" s="112">
        <v>1</v>
      </c>
      <c r="G35" s="113">
        <f>G34*8*0.8</f>
        <v>124800</v>
      </c>
      <c r="H35" s="113">
        <f>H34*8*0.8</f>
        <v>4492.8</v>
      </c>
      <c r="I35" s="114">
        <f t="shared" si="2"/>
        <v>62400</v>
      </c>
      <c r="J35" s="114">
        <f t="shared" si="2"/>
        <v>2246.4</v>
      </c>
    </row>
    <row r="36" spans="1:10" ht="16.5" customHeight="1" outlineLevel="1">
      <c r="A36" s="116"/>
      <c r="B36" s="116"/>
      <c r="C36" s="116"/>
      <c r="D36" s="117"/>
      <c r="E36" s="118"/>
      <c r="F36" s="118"/>
      <c r="G36" s="119"/>
      <c r="H36" s="119"/>
      <c r="I36" s="120"/>
      <c r="J36" s="120"/>
    </row>
    <row r="37" spans="1:10" ht="38" thickBot="1">
      <c r="A37" s="121" t="s">
        <v>534</v>
      </c>
      <c r="B37" s="101"/>
    </row>
    <row r="38" spans="1:10" ht="30" outlineLevel="1">
      <c r="A38" s="103" t="s">
        <v>222</v>
      </c>
      <c r="B38" s="103" t="s">
        <v>0</v>
      </c>
      <c r="C38" s="103" t="s">
        <v>1</v>
      </c>
      <c r="D38" s="103" t="s">
        <v>2</v>
      </c>
      <c r="E38" s="122" t="s">
        <v>3</v>
      </c>
      <c r="F38" s="122" t="s">
        <v>4</v>
      </c>
      <c r="G38" s="123" t="s">
        <v>415</v>
      </c>
      <c r="H38" s="123" t="s">
        <v>416</v>
      </c>
      <c r="I38" s="107" t="s">
        <v>559</v>
      </c>
      <c r="J38" s="107" t="s">
        <v>560</v>
      </c>
    </row>
    <row r="39" spans="1:10" ht="16.5" customHeight="1" outlineLevel="1" thickBot="1">
      <c r="A39" s="108" t="s">
        <v>535</v>
      </c>
      <c r="B39" s="109" t="s">
        <v>22</v>
      </c>
      <c r="C39" s="109" t="s">
        <v>23</v>
      </c>
      <c r="D39" s="110" t="s">
        <v>24</v>
      </c>
      <c r="E39" s="111" t="s">
        <v>8</v>
      </c>
      <c r="F39" s="112">
        <v>1</v>
      </c>
      <c r="G39" s="113">
        <v>200000</v>
      </c>
      <c r="H39" s="113">
        <v>7200</v>
      </c>
      <c r="I39" s="114">
        <f t="shared" ref="I39:J64" si="3">G39*0.5</f>
        <v>100000</v>
      </c>
      <c r="J39" s="114">
        <f t="shared" si="3"/>
        <v>3600</v>
      </c>
    </row>
    <row r="40" spans="1:10" ht="16.5" customHeight="1" outlineLevel="1" thickBot="1">
      <c r="A40" s="108" t="s">
        <v>536</v>
      </c>
      <c r="B40" s="109" t="s">
        <v>22</v>
      </c>
      <c r="C40" s="109" t="s">
        <v>229</v>
      </c>
      <c r="D40" s="110" t="s">
        <v>24</v>
      </c>
      <c r="E40" s="111" t="s">
        <v>8</v>
      </c>
      <c r="F40" s="112">
        <v>1</v>
      </c>
      <c r="G40" s="113">
        <f>G39*8*0.8</f>
        <v>1280000</v>
      </c>
      <c r="H40" s="113">
        <f>H39*8*0.8</f>
        <v>46080</v>
      </c>
      <c r="I40" s="114">
        <f t="shared" si="3"/>
        <v>640000</v>
      </c>
      <c r="J40" s="114">
        <f t="shared" si="3"/>
        <v>23040</v>
      </c>
    </row>
    <row r="41" spans="1:10" ht="16.5" customHeight="1" outlineLevel="1" thickBot="1">
      <c r="A41" s="108" t="s">
        <v>537</v>
      </c>
      <c r="B41" s="109" t="s">
        <v>22</v>
      </c>
      <c r="C41" s="109" t="s">
        <v>223</v>
      </c>
      <c r="D41" s="110" t="s">
        <v>24</v>
      </c>
      <c r="E41" s="111" t="s">
        <v>8</v>
      </c>
      <c r="F41" s="112">
        <v>1</v>
      </c>
      <c r="G41" s="113">
        <f>G39*1.2</f>
        <v>240000</v>
      </c>
      <c r="H41" s="113">
        <f>H39*1.2</f>
        <v>8640</v>
      </c>
      <c r="I41" s="114">
        <f t="shared" si="3"/>
        <v>120000</v>
      </c>
      <c r="J41" s="114">
        <f t="shared" si="3"/>
        <v>4320</v>
      </c>
    </row>
    <row r="42" spans="1:10" ht="16.5" customHeight="1" outlineLevel="1" thickBot="1">
      <c r="A42" s="108" t="s">
        <v>538</v>
      </c>
      <c r="B42" s="109" t="s">
        <v>22</v>
      </c>
      <c r="C42" s="109" t="s">
        <v>230</v>
      </c>
      <c r="D42" s="110" t="s">
        <v>24</v>
      </c>
      <c r="E42" s="111" t="s">
        <v>8</v>
      </c>
      <c r="F42" s="112">
        <v>1</v>
      </c>
      <c r="G42" s="113">
        <f>G41*8*0.8</f>
        <v>1536000</v>
      </c>
      <c r="H42" s="113">
        <f>H41*8*0.8</f>
        <v>55296</v>
      </c>
      <c r="I42" s="114">
        <f t="shared" si="3"/>
        <v>768000</v>
      </c>
      <c r="J42" s="114">
        <f t="shared" si="3"/>
        <v>27648</v>
      </c>
    </row>
    <row r="43" spans="1:10" ht="16.5" customHeight="1" outlineLevel="1" thickBot="1">
      <c r="A43" s="108" t="s">
        <v>539</v>
      </c>
      <c r="B43" s="109" t="s">
        <v>22</v>
      </c>
      <c r="C43" s="109" t="s">
        <v>224</v>
      </c>
      <c r="D43" s="110" t="s">
        <v>24</v>
      </c>
      <c r="E43" s="111" t="s">
        <v>8</v>
      </c>
      <c r="F43" s="112">
        <v>1</v>
      </c>
      <c r="G43" s="113">
        <f>G39*1.4</f>
        <v>280000</v>
      </c>
      <c r="H43" s="113">
        <f>H39*1.4</f>
        <v>10080</v>
      </c>
      <c r="I43" s="114">
        <f t="shared" si="3"/>
        <v>140000</v>
      </c>
      <c r="J43" s="114">
        <f t="shared" si="3"/>
        <v>5040</v>
      </c>
    </row>
    <row r="44" spans="1:10" ht="16.5" customHeight="1" outlineLevel="1" thickBot="1">
      <c r="A44" s="108" t="s">
        <v>540</v>
      </c>
      <c r="B44" s="109" t="s">
        <v>22</v>
      </c>
      <c r="C44" s="109" t="s">
        <v>231</v>
      </c>
      <c r="D44" s="110" t="s">
        <v>24</v>
      </c>
      <c r="E44" s="111" t="s">
        <v>8</v>
      </c>
      <c r="F44" s="112">
        <v>1</v>
      </c>
      <c r="G44" s="113">
        <f>G43*8*0.8</f>
        <v>1792000</v>
      </c>
      <c r="H44" s="113">
        <f>H43*8*0.8</f>
        <v>64512</v>
      </c>
      <c r="I44" s="114">
        <f t="shared" si="3"/>
        <v>896000</v>
      </c>
      <c r="J44" s="114">
        <f t="shared" si="3"/>
        <v>32256</v>
      </c>
    </row>
    <row r="45" spans="1:10" ht="16.5" customHeight="1" outlineLevel="1" thickBot="1">
      <c r="A45" s="108" t="s">
        <v>541</v>
      </c>
      <c r="B45" s="109" t="s">
        <v>22</v>
      </c>
      <c r="C45" s="109" t="s">
        <v>25</v>
      </c>
      <c r="D45" s="110" t="s">
        <v>26</v>
      </c>
      <c r="E45" s="111" t="s">
        <v>12</v>
      </c>
      <c r="F45" s="112">
        <v>1</v>
      </c>
      <c r="G45" s="113">
        <f>G39*0.2</f>
        <v>40000</v>
      </c>
      <c r="H45" s="113">
        <f>H39*0.2</f>
        <v>1440</v>
      </c>
      <c r="I45" s="114">
        <f t="shared" si="3"/>
        <v>20000</v>
      </c>
      <c r="J45" s="114">
        <f t="shared" si="3"/>
        <v>720</v>
      </c>
    </row>
    <row r="46" spans="1:10" ht="16.5" customHeight="1" outlineLevel="1" thickBot="1">
      <c r="A46" s="108" t="s">
        <v>542</v>
      </c>
      <c r="B46" s="109" t="s">
        <v>22</v>
      </c>
      <c r="C46" s="109" t="s">
        <v>232</v>
      </c>
      <c r="D46" s="110" t="s">
        <v>26</v>
      </c>
      <c r="E46" s="111" t="s">
        <v>12</v>
      </c>
      <c r="F46" s="112">
        <v>1</v>
      </c>
      <c r="G46" s="113">
        <f>G45*0.8*8</f>
        <v>256000</v>
      </c>
      <c r="H46" s="113">
        <f>H45*0.8*8</f>
        <v>9216</v>
      </c>
      <c r="I46" s="114">
        <f t="shared" si="3"/>
        <v>128000</v>
      </c>
      <c r="J46" s="114">
        <f t="shared" si="3"/>
        <v>4608</v>
      </c>
    </row>
    <row r="47" spans="1:10" ht="16.5" customHeight="1" outlineLevel="1" thickBot="1">
      <c r="A47" s="108"/>
      <c r="B47" s="109"/>
      <c r="C47" s="109"/>
      <c r="D47" s="110"/>
      <c r="E47" s="112"/>
      <c r="F47" s="112"/>
      <c r="G47" s="113"/>
      <c r="H47" s="113"/>
      <c r="I47" s="114">
        <f t="shared" si="3"/>
        <v>0</v>
      </c>
      <c r="J47" s="114">
        <f t="shared" si="3"/>
        <v>0</v>
      </c>
    </row>
    <row r="48" spans="1:10" ht="16.5" customHeight="1" outlineLevel="1" thickBot="1">
      <c r="A48" s="108" t="s">
        <v>543</v>
      </c>
      <c r="B48" s="109" t="s">
        <v>22</v>
      </c>
      <c r="C48" s="109" t="s">
        <v>27</v>
      </c>
      <c r="D48" s="110" t="s">
        <v>24</v>
      </c>
      <c r="E48" s="111" t="s">
        <v>8</v>
      </c>
      <c r="F48" s="112">
        <v>1</v>
      </c>
      <c r="G48" s="113">
        <f>G39/2</f>
        <v>100000</v>
      </c>
      <c r="H48" s="113">
        <f>H39/2</f>
        <v>3600</v>
      </c>
      <c r="I48" s="114">
        <f t="shared" si="3"/>
        <v>50000</v>
      </c>
      <c r="J48" s="114">
        <f t="shared" si="3"/>
        <v>1800</v>
      </c>
    </row>
    <row r="49" spans="1:10" ht="16.5" customHeight="1" outlineLevel="1" thickBot="1">
      <c r="A49" s="108" t="s">
        <v>544</v>
      </c>
      <c r="B49" s="109" t="s">
        <v>22</v>
      </c>
      <c r="C49" s="109" t="s">
        <v>233</v>
      </c>
      <c r="D49" s="110" t="s">
        <v>24</v>
      </c>
      <c r="E49" s="111" t="s">
        <v>8</v>
      </c>
      <c r="F49" s="112">
        <v>1</v>
      </c>
      <c r="G49" s="113">
        <f>G48*8*0.8</f>
        <v>640000</v>
      </c>
      <c r="H49" s="113">
        <f>H48*8*0.8</f>
        <v>23040</v>
      </c>
      <c r="I49" s="114">
        <f t="shared" si="3"/>
        <v>320000</v>
      </c>
      <c r="J49" s="114">
        <f t="shared" si="3"/>
        <v>11520</v>
      </c>
    </row>
    <row r="50" spans="1:10" ht="16.5" customHeight="1" outlineLevel="1" thickBot="1">
      <c r="A50" s="108" t="s">
        <v>545</v>
      </c>
      <c r="B50" s="109" t="s">
        <v>22</v>
      </c>
      <c r="C50" s="109" t="s">
        <v>225</v>
      </c>
      <c r="D50" s="110" t="s">
        <v>24</v>
      </c>
      <c r="E50" s="111" t="s">
        <v>8</v>
      </c>
      <c r="F50" s="112">
        <v>1</v>
      </c>
      <c r="G50" s="113">
        <f>G48*1.2</f>
        <v>120000</v>
      </c>
      <c r="H50" s="113">
        <f>H48*1.2</f>
        <v>4320</v>
      </c>
      <c r="I50" s="114">
        <f t="shared" si="3"/>
        <v>60000</v>
      </c>
      <c r="J50" s="114">
        <f t="shared" si="3"/>
        <v>2160</v>
      </c>
    </row>
    <row r="51" spans="1:10" ht="16.5" customHeight="1" outlineLevel="1" thickBot="1">
      <c r="A51" s="108" t="s">
        <v>546</v>
      </c>
      <c r="B51" s="109" t="s">
        <v>22</v>
      </c>
      <c r="C51" s="109" t="s">
        <v>234</v>
      </c>
      <c r="D51" s="110" t="s">
        <v>24</v>
      </c>
      <c r="E51" s="111" t="s">
        <v>8</v>
      </c>
      <c r="F51" s="112">
        <v>1</v>
      </c>
      <c r="G51" s="113">
        <f>G50*8*0.8</f>
        <v>768000</v>
      </c>
      <c r="H51" s="113">
        <f>H50*8*0.8</f>
        <v>27648</v>
      </c>
      <c r="I51" s="114">
        <f t="shared" si="3"/>
        <v>384000</v>
      </c>
      <c r="J51" s="114">
        <f t="shared" si="3"/>
        <v>13824</v>
      </c>
    </row>
    <row r="52" spans="1:10" ht="16.5" customHeight="1" outlineLevel="1" thickBot="1">
      <c r="A52" s="108" t="s">
        <v>547</v>
      </c>
      <c r="B52" s="109" t="s">
        <v>22</v>
      </c>
      <c r="C52" s="109" t="s">
        <v>226</v>
      </c>
      <c r="D52" s="110" t="s">
        <v>24</v>
      </c>
      <c r="E52" s="111" t="s">
        <v>8</v>
      </c>
      <c r="F52" s="112">
        <v>1</v>
      </c>
      <c r="G52" s="113">
        <f>G48*1.4</f>
        <v>140000</v>
      </c>
      <c r="H52" s="113">
        <f>H48*1.4</f>
        <v>5040</v>
      </c>
      <c r="I52" s="114">
        <f t="shared" si="3"/>
        <v>70000</v>
      </c>
      <c r="J52" s="114">
        <f t="shared" si="3"/>
        <v>2520</v>
      </c>
    </row>
    <row r="53" spans="1:10" ht="16.5" customHeight="1" outlineLevel="1" thickBot="1">
      <c r="A53" s="108" t="s">
        <v>548</v>
      </c>
      <c r="B53" s="109" t="s">
        <v>22</v>
      </c>
      <c r="C53" s="109" t="s">
        <v>235</v>
      </c>
      <c r="D53" s="110" t="s">
        <v>24</v>
      </c>
      <c r="E53" s="111" t="s">
        <v>8</v>
      </c>
      <c r="F53" s="112">
        <v>1</v>
      </c>
      <c r="G53" s="113">
        <f>G52*8*0.8</f>
        <v>896000</v>
      </c>
      <c r="H53" s="113">
        <f>H52*8*0.8</f>
        <v>32256</v>
      </c>
      <c r="I53" s="114">
        <f t="shared" si="3"/>
        <v>448000</v>
      </c>
      <c r="J53" s="114">
        <f t="shared" si="3"/>
        <v>16128</v>
      </c>
    </row>
    <row r="54" spans="1:10" ht="16.5" customHeight="1" outlineLevel="1" thickBot="1">
      <c r="A54" s="108" t="s">
        <v>549</v>
      </c>
      <c r="B54" s="109" t="s">
        <v>22</v>
      </c>
      <c r="C54" s="109" t="s">
        <v>28</v>
      </c>
      <c r="D54" s="110" t="s">
        <v>26</v>
      </c>
      <c r="E54" s="111" t="s">
        <v>12</v>
      </c>
      <c r="F54" s="112">
        <v>1</v>
      </c>
      <c r="G54" s="113">
        <f>G48*0.2</f>
        <v>20000</v>
      </c>
      <c r="H54" s="113">
        <f>H48*0.2</f>
        <v>720</v>
      </c>
      <c r="I54" s="114">
        <f t="shared" si="3"/>
        <v>10000</v>
      </c>
      <c r="J54" s="114">
        <f t="shared" si="3"/>
        <v>360</v>
      </c>
    </row>
    <row r="55" spans="1:10" ht="16.5" customHeight="1" outlineLevel="1" thickBot="1">
      <c r="A55" s="108" t="s">
        <v>550</v>
      </c>
      <c r="B55" s="109" t="s">
        <v>22</v>
      </c>
      <c r="C55" s="109" t="s">
        <v>236</v>
      </c>
      <c r="D55" s="110" t="s">
        <v>26</v>
      </c>
      <c r="E55" s="111" t="s">
        <v>12</v>
      </c>
      <c r="F55" s="112">
        <v>1</v>
      </c>
      <c r="G55" s="113">
        <f>G54*8*0.8</f>
        <v>128000</v>
      </c>
      <c r="H55" s="113">
        <f>H54*8*0.8</f>
        <v>4608</v>
      </c>
      <c r="I55" s="114">
        <f t="shared" si="3"/>
        <v>64000</v>
      </c>
      <c r="J55" s="114">
        <f t="shared" si="3"/>
        <v>2304</v>
      </c>
    </row>
    <row r="56" spans="1:10" ht="16.5" customHeight="1" outlineLevel="1" thickBot="1">
      <c r="A56" s="108"/>
      <c r="B56" s="109"/>
      <c r="C56" s="109"/>
      <c r="D56" s="110"/>
      <c r="E56" s="112"/>
      <c r="F56" s="112"/>
      <c r="G56" s="113"/>
      <c r="H56" s="113"/>
      <c r="I56" s="114">
        <f t="shared" si="3"/>
        <v>0</v>
      </c>
      <c r="J56" s="114">
        <f t="shared" si="3"/>
        <v>0</v>
      </c>
    </row>
    <row r="57" spans="1:10" ht="16.5" customHeight="1" outlineLevel="1" thickBot="1">
      <c r="A57" s="108" t="s">
        <v>551</v>
      </c>
      <c r="B57" s="109" t="s">
        <v>22</v>
      </c>
      <c r="C57" s="109" t="s">
        <v>29</v>
      </c>
      <c r="D57" s="110" t="s">
        <v>24</v>
      </c>
      <c r="E57" s="111" t="s">
        <v>8</v>
      </c>
      <c r="F57" s="112">
        <v>1</v>
      </c>
      <c r="G57" s="113">
        <f>G39/4</f>
        <v>50000</v>
      </c>
      <c r="H57" s="113">
        <f>H39/4</f>
        <v>1800</v>
      </c>
      <c r="I57" s="114">
        <f t="shared" si="3"/>
        <v>25000</v>
      </c>
      <c r="J57" s="114">
        <f t="shared" si="3"/>
        <v>900</v>
      </c>
    </row>
    <row r="58" spans="1:10" ht="16.5" customHeight="1" outlineLevel="1" thickBot="1">
      <c r="A58" s="108" t="s">
        <v>552</v>
      </c>
      <c r="B58" s="109" t="s">
        <v>22</v>
      </c>
      <c r="C58" s="109" t="s">
        <v>237</v>
      </c>
      <c r="D58" s="110" t="s">
        <v>24</v>
      </c>
      <c r="E58" s="111" t="s">
        <v>8</v>
      </c>
      <c r="F58" s="112">
        <v>1</v>
      </c>
      <c r="G58" s="113">
        <f>G57*8*0.8</f>
        <v>320000</v>
      </c>
      <c r="H58" s="113">
        <f>H57*8*0.8</f>
        <v>11520</v>
      </c>
      <c r="I58" s="114">
        <f t="shared" si="3"/>
        <v>160000</v>
      </c>
      <c r="J58" s="114">
        <f t="shared" si="3"/>
        <v>5760</v>
      </c>
    </row>
    <row r="59" spans="1:10" ht="16.5" customHeight="1" outlineLevel="1" thickBot="1">
      <c r="A59" s="108" t="s">
        <v>553</v>
      </c>
      <c r="B59" s="109" t="s">
        <v>22</v>
      </c>
      <c r="C59" s="109" t="s">
        <v>227</v>
      </c>
      <c r="D59" s="110" t="s">
        <v>24</v>
      </c>
      <c r="E59" s="111" t="s">
        <v>8</v>
      </c>
      <c r="F59" s="112">
        <v>1</v>
      </c>
      <c r="G59" s="113">
        <f>G57*1.2</f>
        <v>60000</v>
      </c>
      <c r="H59" s="113">
        <f>H57*1.2</f>
        <v>2160</v>
      </c>
      <c r="I59" s="114">
        <f t="shared" si="3"/>
        <v>30000</v>
      </c>
      <c r="J59" s="114">
        <f t="shared" si="3"/>
        <v>1080</v>
      </c>
    </row>
    <row r="60" spans="1:10" ht="16.5" customHeight="1" outlineLevel="1" thickBot="1">
      <c r="A60" s="108" t="s">
        <v>554</v>
      </c>
      <c r="B60" s="109" t="s">
        <v>22</v>
      </c>
      <c r="C60" s="109" t="s">
        <v>238</v>
      </c>
      <c r="D60" s="110" t="s">
        <v>24</v>
      </c>
      <c r="E60" s="111" t="s">
        <v>8</v>
      </c>
      <c r="F60" s="112">
        <v>1</v>
      </c>
      <c r="G60" s="113">
        <f>G59*8*0.8</f>
        <v>384000</v>
      </c>
      <c r="H60" s="113">
        <f>H59*8*0.8</f>
        <v>13824</v>
      </c>
      <c r="I60" s="114">
        <f t="shared" si="3"/>
        <v>192000</v>
      </c>
      <c r="J60" s="114">
        <f t="shared" si="3"/>
        <v>6912</v>
      </c>
    </row>
    <row r="61" spans="1:10" ht="16.5" customHeight="1" outlineLevel="1" thickBot="1">
      <c r="A61" s="108" t="s">
        <v>555</v>
      </c>
      <c r="B61" s="109" t="s">
        <v>22</v>
      </c>
      <c r="C61" s="109" t="s">
        <v>228</v>
      </c>
      <c r="D61" s="110" t="s">
        <v>24</v>
      </c>
      <c r="E61" s="111" t="s">
        <v>8</v>
      </c>
      <c r="F61" s="112">
        <v>1</v>
      </c>
      <c r="G61" s="113">
        <f>G57*1.4</f>
        <v>70000</v>
      </c>
      <c r="H61" s="113">
        <f>H57*1.4</f>
        <v>2520</v>
      </c>
      <c r="I61" s="114">
        <f t="shared" si="3"/>
        <v>35000</v>
      </c>
      <c r="J61" s="114">
        <f t="shared" si="3"/>
        <v>1260</v>
      </c>
    </row>
    <row r="62" spans="1:10" ht="16.5" customHeight="1" outlineLevel="1" thickBot="1">
      <c r="A62" s="108" t="s">
        <v>556</v>
      </c>
      <c r="B62" s="109" t="s">
        <v>22</v>
      </c>
      <c r="C62" s="109" t="s">
        <v>239</v>
      </c>
      <c r="D62" s="110" t="s">
        <v>24</v>
      </c>
      <c r="E62" s="111" t="s">
        <v>8</v>
      </c>
      <c r="F62" s="112">
        <v>1</v>
      </c>
      <c r="G62" s="113">
        <f>G61*8*0.8</f>
        <v>448000</v>
      </c>
      <c r="H62" s="113">
        <f>H61*8*0.8</f>
        <v>16128</v>
      </c>
      <c r="I62" s="114">
        <f t="shared" si="3"/>
        <v>224000</v>
      </c>
      <c r="J62" s="114">
        <f t="shared" si="3"/>
        <v>8064</v>
      </c>
    </row>
    <row r="63" spans="1:10" ht="16.5" customHeight="1" outlineLevel="1" thickBot="1">
      <c r="A63" s="108" t="s">
        <v>557</v>
      </c>
      <c r="B63" s="109" t="s">
        <v>22</v>
      </c>
      <c r="C63" s="109" t="s">
        <v>30</v>
      </c>
      <c r="D63" s="110" t="s">
        <v>26</v>
      </c>
      <c r="E63" s="111" t="s">
        <v>12</v>
      </c>
      <c r="F63" s="112">
        <v>1</v>
      </c>
      <c r="G63" s="113">
        <f>G57*0.2</f>
        <v>10000</v>
      </c>
      <c r="H63" s="113">
        <f>H57*0.2</f>
        <v>360</v>
      </c>
      <c r="I63" s="114">
        <f t="shared" si="3"/>
        <v>5000</v>
      </c>
      <c r="J63" s="114">
        <f t="shared" si="3"/>
        <v>180</v>
      </c>
    </row>
    <row r="64" spans="1:10" ht="16.5" customHeight="1" outlineLevel="1" thickBot="1">
      <c r="A64" s="108" t="s">
        <v>558</v>
      </c>
      <c r="B64" s="109" t="s">
        <v>22</v>
      </c>
      <c r="C64" s="109" t="s">
        <v>240</v>
      </c>
      <c r="D64" s="110" t="s">
        <v>26</v>
      </c>
      <c r="E64" s="111" t="s">
        <v>12</v>
      </c>
      <c r="F64" s="112">
        <v>1</v>
      </c>
      <c r="G64" s="113">
        <f>G63*8*0.8</f>
        <v>64000</v>
      </c>
      <c r="H64" s="113">
        <f>H63*8*0.8</f>
        <v>2304</v>
      </c>
      <c r="I64" s="114">
        <f t="shared" si="3"/>
        <v>32000</v>
      </c>
      <c r="J64" s="114">
        <f t="shared" si="3"/>
        <v>1152</v>
      </c>
    </row>
    <row r="65" spans="1:1" ht="16.5" customHeight="1"/>
    <row r="66" spans="1:1" ht="16.5" customHeight="1">
      <c r="A66" s="98" t="s">
        <v>710</v>
      </c>
    </row>
    <row r="67" spans="1:1" ht="16.5" customHeight="1"/>
    <row r="68" spans="1:1" ht="16.5" customHeight="1"/>
    <row r="69" spans="1:1" ht="16.5" customHeight="1"/>
    <row r="70" spans="1:1" ht="16.5" customHeight="1"/>
    <row r="71" spans="1:1" ht="16.5" customHeight="1"/>
    <row r="72" spans="1:1" ht="16.5" customHeight="1"/>
    <row r="73" spans="1:1" ht="16.5" customHeight="1"/>
    <row r="74" spans="1:1" ht="16.5" customHeight="1"/>
    <row r="75" spans="1:1" ht="16.5" customHeight="1"/>
    <row r="76" spans="1:1" ht="16.5" customHeight="1"/>
    <row r="77" spans="1:1" ht="16.5" customHeight="1"/>
    <row r="78" spans="1:1" ht="16.5" customHeight="1"/>
    <row r="79" spans="1:1" ht="16.5" customHeight="1"/>
    <row r="80" spans="1:1"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sheetData>
  <phoneticPr fontId="10" type="noConversion"/>
  <pageMargins left="0.25" right="0.25" top="0.75" bottom="0.75" header="0" footer="0"/>
  <pageSetup paperSize="9"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D842-2D26-F54F-94F9-A5D62B8C5A3A}">
  <sheetPr>
    <pageSetUpPr fitToPage="1"/>
  </sheetPr>
  <dimension ref="A1:K779"/>
  <sheetViews>
    <sheetView zoomScale="75" zoomScaleNormal="75" workbookViewId="0">
      <pane ySplit="1" topLeftCell="A2" activePane="bottomLeft" state="frozen"/>
      <selection pane="bottomLeft" activeCell="C1" sqref="C1"/>
    </sheetView>
  </sheetViews>
  <sheetFormatPr baseColWidth="10" defaultColWidth="11.140625" defaultRowHeight="15" customHeight="1"/>
  <cols>
    <col min="1" max="1" width="18.85546875" style="98" customWidth="1"/>
    <col min="2" max="2" width="14.5703125" style="98" customWidth="1"/>
    <col min="3" max="3" width="48.85546875" style="98" bestFit="1" customWidth="1"/>
    <col min="4" max="4" width="27.28515625" style="98" bestFit="1" customWidth="1"/>
    <col min="5" max="5" width="17.7109375" style="98" customWidth="1"/>
    <col min="6" max="6" width="9.140625" style="98" customWidth="1"/>
    <col min="7" max="8" width="11.28515625" style="99" bestFit="1" customWidth="1"/>
    <col min="9" max="10" width="13" style="100" customWidth="1"/>
    <col min="11" max="11" width="11.42578125" style="98" customWidth="1"/>
    <col min="12" max="26" width="6.85546875" style="98" customWidth="1"/>
    <col min="27" max="16384" width="11.140625" style="98"/>
  </cols>
  <sheetData>
    <row r="1" spans="1:11" ht="24">
      <c r="A1" s="97" t="s">
        <v>412</v>
      </c>
      <c r="B1" s="97"/>
    </row>
    <row r="2" spans="1:11" ht="38" thickBot="1">
      <c r="A2" s="101" t="s">
        <v>413</v>
      </c>
      <c r="B2" s="101"/>
      <c r="C2" s="101"/>
      <c r="D2" s="101"/>
      <c r="E2" s="102"/>
      <c r="F2" s="102"/>
      <c r="K2" s="102"/>
    </row>
    <row r="3" spans="1:11" ht="30">
      <c r="A3" s="103" t="s">
        <v>222</v>
      </c>
      <c r="B3" s="104" t="s">
        <v>414</v>
      </c>
      <c r="C3" s="104" t="s">
        <v>1</v>
      </c>
      <c r="D3" s="104" t="s">
        <v>2</v>
      </c>
      <c r="E3" s="105" t="s">
        <v>3</v>
      </c>
      <c r="F3" s="105" t="s">
        <v>4</v>
      </c>
      <c r="G3" s="106" t="s">
        <v>415</v>
      </c>
      <c r="H3" s="106" t="s">
        <v>416</v>
      </c>
      <c r="I3" s="107" t="s">
        <v>559</v>
      </c>
      <c r="J3" s="107" t="s">
        <v>560</v>
      </c>
      <c r="K3" s="102"/>
    </row>
    <row r="4" spans="1:11" ht="16.5" customHeight="1" thickBot="1">
      <c r="A4" s="108" t="s">
        <v>417</v>
      </c>
      <c r="B4" s="109" t="s">
        <v>9</v>
      </c>
      <c r="C4" s="109" t="s">
        <v>418</v>
      </c>
      <c r="D4" s="110" t="s">
        <v>419</v>
      </c>
      <c r="E4" s="111" t="s">
        <v>8</v>
      </c>
      <c r="F4" s="112">
        <v>1</v>
      </c>
      <c r="G4" s="113">
        <v>150000</v>
      </c>
      <c r="H4" s="113">
        <v>5400</v>
      </c>
      <c r="I4" s="114">
        <f t="shared" ref="I4:J11" si="0">G4*0.5</f>
        <v>75000</v>
      </c>
      <c r="J4" s="114">
        <f t="shared" si="0"/>
        <v>2700</v>
      </c>
      <c r="K4" s="115"/>
    </row>
    <row r="5" spans="1:11" ht="16.5" customHeight="1" thickBot="1">
      <c r="A5" s="108" t="s">
        <v>420</v>
      </c>
      <c r="B5" s="109" t="s">
        <v>9</v>
      </c>
      <c r="C5" s="109" t="s">
        <v>421</v>
      </c>
      <c r="D5" s="110" t="s">
        <v>419</v>
      </c>
      <c r="E5" s="111" t="s">
        <v>8</v>
      </c>
      <c r="F5" s="112">
        <v>1</v>
      </c>
      <c r="G5" s="113">
        <f>G4*8*0.8</f>
        <v>960000</v>
      </c>
      <c r="H5" s="113">
        <f>H4*8*0.8</f>
        <v>34560</v>
      </c>
      <c r="I5" s="114">
        <f t="shared" si="0"/>
        <v>480000</v>
      </c>
      <c r="J5" s="114">
        <f t="shared" si="0"/>
        <v>17280</v>
      </c>
      <c r="K5" s="115"/>
    </row>
    <row r="6" spans="1:11" ht="16.5" customHeight="1" thickBot="1">
      <c r="A6" s="108" t="s">
        <v>422</v>
      </c>
      <c r="B6" s="109" t="s">
        <v>9</v>
      </c>
      <c r="C6" s="109" t="s">
        <v>423</v>
      </c>
      <c r="D6" s="110" t="s">
        <v>419</v>
      </c>
      <c r="E6" s="111" t="s">
        <v>8</v>
      </c>
      <c r="F6" s="112">
        <v>1</v>
      </c>
      <c r="G6" s="113">
        <f>G4*1.2</f>
        <v>180000</v>
      </c>
      <c r="H6" s="113">
        <f>H4*1.2</f>
        <v>6480</v>
      </c>
      <c r="I6" s="114">
        <f t="shared" si="0"/>
        <v>90000</v>
      </c>
      <c r="J6" s="114">
        <f t="shared" si="0"/>
        <v>3240</v>
      </c>
      <c r="K6" s="115"/>
    </row>
    <row r="7" spans="1:11" ht="16.5" customHeight="1" thickBot="1">
      <c r="A7" s="108" t="s">
        <v>424</v>
      </c>
      <c r="B7" s="109" t="s">
        <v>9</v>
      </c>
      <c r="C7" s="109" t="s">
        <v>425</v>
      </c>
      <c r="D7" s="110" t="s">
        <v>419</v>
      </c>
      <c r="E7" s="111" t="s">
        <v>8</v>
      </c>
      <c r="F7" s="112">
        <v>1</v>
      </c>
      <c r="G7" s="113">
        <f>G6*8*0.8</f>
        <v>1152000</v>
      </c>
      <c r="H7" s="113">
        <f>H6*8*0.8</f>
        <v>41472</v>
      </c>
      <c r="I7" s="114">
        <f t="shared" si="0"/>
        <v>576000</v>
      </c>
      <c r="J7" s="114">
        <f t="shared" si="0"/>
        <v>20736</v>
      </c>
      <c r="K7" s="115"/>
    </row>
    <row r="8" spans="1:11" ht="16.5" customHeight="1" thickBot="1">
      <c r="A8" s="108" t="s">
        <v>426</v>
      </c>
      <c r="B8" s="109" t="s">
        <v>9</v>
      </c>
      <c r="C8" s="109" t="s">
        <v>427</v>
      </c>
      <c r="D8" s="110" t="s">
        <v>419</v>
      </c>
      <c r="E8" s="111" t="s">
        <v>8</v>
      </c>
      <c r="F8" s="112">
        <v>1</v>
      </c>
      <c r="G8" s="113">
        <f>G4*1.4</f>
        <v>210000</v>
      </c>
      <c r="H8" s="113">
        <f>H4*1.4</f>
        <v>7559.9999999999991</v>
      </c>
      <c r="I8" s="114">
        <f t="shared" si="0"/>
        <v>105000</v>
      </c>
      <c r="J8" s="114">
        <f t="shared" si="0"/>
        <v>3779.9999999999995</v>
      </c>
      <c r="K8" s="115"/>
    </row>
    <row r="9" spans="1:11" ht="16.5" customHeight="1" thickBot="1">
      <c r="A9" s="108" t="s">
        <v>428</v>
      </c>
      <c r="B9" s="109" t="s">
        <v>9</v>
      </c>
      <c r="C9" s="109" t="s">
        <v>429</v>
      </c>
      <c r="D9" s="110" t="s">
        <v>419</v>
      </c>
      <c r="E9" s="111" t="s">
        <v>8</v>
      </c>
      <c r="F9" s="112">
        <v>1</v>
      </c>
      <c r="G9" s="113">
        <f>G8*8*0.8</f>
        <v>1344000</v>
      </c>
      <c r="H9" s="113">
        <f>H8*8*0.8</f>
        <v>48384</v>
      </c>
      <c r="I9" s="114">
        <f t="shared" si="0"/>
        <v>672000</v>
      </c>
      <c r="J9" s="114">
        <f t="shared" si="0"/>
        <v>24192</v>
      </c>
      <c r="K9" s="115"/>
    </row>
    <row r="10" spans="1:11" ht="16.5" customHeight="1" thickBot="1">
      <c r="A10" s="108" t="s">
        <v>430</v>
      </c>
      <c r="B10" s="109" t="s">
        <v>9</v>
      </c>
      <c r="C10" s="109" t="s">
        <v>431</v>
      </c>
      <c r="D10" s="110" t="s">
        <v>432</v>
      </c>
      <c r="E10" s="112" t="s">
        <v>15</v>
      </c>
      <c r="F10" s="112">
        <v>1</v>
      </c>
      <c r="G10" s="113">
        <f>(G4-G33)*1.3</f>
        <v>65000</v>
      </c>
      <c r="H10" s="113">
        <f>(H4-H33)*1.3</f>
        <v>2340</v>
      </c>
      <c r="I10" s="114">
        <f t="shared" si="0"/>
        <v>32500</v>
      </c>
      <c r="J10" s="114">
        <f t="shared" si="0"/>
        <v>1170</v>
      </c>
      <c r="K10" s="102"/>
    </row>
    <row r="11" spans="1:11" ht="16.5" customHeight="1" thickBot="1">
      <c r="A11" s="108" t="s">
        <v>433</v>
      </c>
      <c r="B11" s="109" t="s">
        <v>9</v>
      </c>
      <c r="C11" s="109" t="s">
        <v>434</v>
      </c>
      <c r="D11" s="110" t="s">
        <v>432</v>
      </c>
      <c r="E11" s="112" t="s">
        <v>15</v>
      </c>
      <c r="F11" s="112">
        <v>1</v>
      </c>
      <c r="G11" s="113">
        <f>G10*8*0.8</f>
        <v>416000</v>
      </c>
      <c r="H11" s="113">
        <f>H10*8*0.8</f>
        <v>14976</v>
      </c>
      <c r="I11" s="114">
        <f t="shared" si="0"/>
        <v>208000</v>
      </c>
      <c r="J11" s="114">
        <f t="shared" si="0"/>
        <v>7488</v>
      </c>
      <c r="K11" s="102"/>
    </row>
    <row r="12" spans="1:11" ht="16.5" customHeight="1" thickBot="1">
      <c r="A12" s="108"/>
      <c r="B12" s="109"/>
      <c r="C12" s="109"/>
      <c r="D12" s="110"/>
      <c r="E12" s="112"/>
      <c r="F12" s="112"/>
      <c r="G12" s="113"/>
      <c r="H12" s="113"/>
      <c r="I12" s="114"/>
      <c r="J12" s="114"/>
      <c r="K12" s="102"/>
    </row>
    <row r="13" spans="1:11" ht="16.5" customHeight="1" thickBot="1">
      <c r="A13" s="108" t="s">
        <v>435</v>
      </c>
      <c r="B13" s="109" t="s">
        <v>9</v>
      </c>
      <c r="C13" s="109" t="s">
        <v>436</v>
      </c>
      <c r="D13" s="110" t="s">
        <v>419</v>
      </c>
      <c r="E13" s="111" t="s">
        <v>8</v>
      </c>
      <c r="F13" s="112">
        <v>1</v>
      </c>
      <c r="G13" s="113">
        <f>G4/2</f>
        <v>75000</v>
      </c>
      <c r="H13" s="113">
        <f>H4/2</f>
        <v>2700</v>
      </c>
      <c r="I13" s="114">
        <f t="shared" ref="I13:J20" si="1">G13*0.5</f>
        <v>37500</v>
      </c>
      <c r="J13" s="114">
        <f t="shared" si="1"/>
        <v>1350</v>
      </c>
      <c r="K13" s="102"/>
    </row>
    <row r="14" spans="1:11" ht="16.5" customHeight="1" thickBot="1">
      <c r="A14" s="108" t="s">
        <v>437</v>
      </c>
      <c r="B14" s="109" t="s">
        <v>9</v>
      </c>
      <c r="C14" s="109" t="s">
        <v>438</v>
      </c>
      <c r="D14" s="110" t="s">
        <v>419</v>
      </c>
      <c r="E14" s="111" t="s">
        <v>8</v>
      </c>
      <c r="F14" s="112">
        <v>1</v>
      </c>
      <c r="G14" s="113">
        <f>G13*8*0.8</f>
        <v>480000</v>
      </c>
      <c r="H14" s="113">
        <f>H13*8*0.8</f>
        <v>17280</v>
      </c>
      <c r="I14" s="114">
        <f t="shared" si="1"/>
        <v>240000</v>
      </c>
      <c r="J14" s="114">
        <f t="shared" si="1"/>
        <v>8640</v>
      </c>
      <c r="K14" s="102"/>
    </row>
    <row r="15" spans="1:11" ht="16.5" customHeight="1" thickBot="1">
      <c r="A15" s="108" t="s">
        <v>439</v>
      </c>
      <c r="B15" s="109" t="s">
        <v>9</v>
      </c>
      <c r="C15" s="109" t="s">
        <v>440</v>
      </c>
      <c r="D15" s="110" t="s">
        <v>419</v>
      </c>
      <c r="E15" s="111" t="s">
        <v>8</v>
      </c>
      <c r="F15" s="112">
        <v>1</v>
      </c>
      <c r="G15" s="113">
        <f>G13*1.2</f>
        <v>90000</v>
      </c>
      <c r="H15" s="113">
        <f>H13*1.2</f>
        <v>3240</v>
      </c>
      <c r="I15" s="114">
        <f t="shared" si="1"/>
        <v>45000</v>
      </c>
      <c r="J15" s="114">
        <f t="shared" si="1"/>
        <v>1620</v>
      </c>
      <c r="K15" s="102"/>
    </row>
    <row r="16" spans="1:11" ht="16.5" customHeight="1" thickBot="1">
      <c r="A16" s="108" t="s">
        <v>441</v>
      </c>
      <c r="B16" s="109" t="s">
        <v>9</v>
      </c>
      <c r="C16" s="109" t="s">
        <v>442</v>
      </c>
      <c r="D16" s="110" t="s">
        <v>419</v>
      </c>
      <c r="E16" s="111" t="s">
        <v>8</v>
      </c>
      <c r="F16" s="112">
        <v>1</v>
      </c>
      <c r="G16" s="113">
        <f>G15*8*0.8</f>
        <v>576000</v>
      </c>
      <c r="H16" s="113">
        <f>H15*8*0.8</f>
        <v>20736</v>
      </c>
      <c r="I16" s="114">
        <f t="shared" si="1"/>
        <v>288000</v>
      </c>
      <c r="J16" s="114">
        <f t="shared" si="1"/>
        <v>10368</v>
      </c>
      <c r="K16" s="102"/>
    </row>
    <row r="17" spans="1:11" ht="16.5" customHeight="1" thickBot="1">
      <c r="A17" s="108" t="s">
        <v>443</v>
      </c>
      <c r="B17" s="109" t="s">
        <v>9</v>
      </c>
      <c r="C17" s="109" t="s">
        <v>444</v>
      </c>
      <c r="D17" s="110" t="s">
        <v>419</v>
      </c>
      <c r="E17" s="111" t="s">
        <v>8</v>
      </c>
      <c r="F17" s="112">
        <v>1</v>
      </c>
      <c r="G17" s="113">
        <f>G13*1.4</f>
        <v>105000</v>
      </c>
      <c r="H17" s="113">
        <f>H13*1.4</f>
        <v>3779.9999999999995</v>
      </c>
      <c r="I17" s="114">
        <f t="shared" si="1"/>
        <v>52500</v>
      </c>
      <c r="J17" s="114">
        <f t="shared" si="1"/>
        <v>1889.9999999999998</v>
      </c>
      <c r="K17" s="102"/>
    </row>
    <row r="18" spans="1:11" ht="16.5" customHeight="1" thickBot="1">
      <c r="A18" s="108" t="s">
        <v>445</v>
      </c>
      <c r="B18" s="109" t="s">
        <v>9</v>
      </c>
      <c r="C18" s="109" t="s">
        <v>446</v>
      </c>
      <c r="D18" s="110" t="s">
        <v>419</v>
      </c>
      <c r="E18" s="111" t="s">
        <v>8</v>
      </c>
      <c r="F18" s="112">
        <v>1</v>
      </c>
      <c r="G18" s="113">
        <f>G17*8*0.8</f>
        <v>672000</v>
      </c>
      <c r="H18" s="113">
        <f>H17*8*0.8</f>
        <v>24192</v>
      </c>
      <c r="I18" s="114">
        <f t="shared" si="1"/>
        <v>336000</v>
      </c>
      <c r="J18" s="114">
        <f t="shared" si="1"/>
        <v>12096</v>
      </c>
      <c r="K18" s="102"/>
    </row>
    <row r="19" spans="1:11" ht="16.5" customHeight="1" thickBot="1">
      <c r="A19" s="108" t="s">
        <v>447</v>
      </c>
      <c r="B19" s="109" t="s">
        <v>9</v>
      </c>
      <c r="C19" s="109" t="s">
        <v>448</v>
      </c>
      <c r="D19" s="110" t="s">
        <v>432</v>
      </c>
      <c r="E19" s="112" t="s">
        <v>15</v>
      </c>
      <c r="F19" s="112">
        <v>1</v>
      </c>
      <c r="G19" s="113">
        <f>(G13-G40)*1.3</f>
        <v>32500</v>
      </c>
      <c r="H19" s="113">
        <f>(H13-H40)*1.3</f>
        <v>1170</v>
      </c>
      <c r="I19" s="114">
        <f t="shared" si="1"/>
        <v>16250</v>
      </c>
      <c r="J19" s="114">
        <f t="shared" si="1"/>
        <v>585</v>
      </c>
      <c r="K19" s="102"/>
    </row>
    <row r="20" spans="1:11" ht="16.5" customHeight="1" thickBot="1">
      <c r="A20" s="108" t="s">
        <v>449</v>
      </c>
      <c r="B20" s="109" t="s">
        <v>9</v>
      </c>
      <c r="C20" s="109" t="s">
        <v>450</v>
      </c>
      <c r="D20" s="110" t="s">
        <v>432</v>
      </c>
      <c r="E20" s="112" t="s">
        <v>15</v>
      </c>
      <c r="F20" s="112">
        <v>1</v>
      </c>
      <c r="G20" s="113">
        <f>G19*8*0.8</f>
        <v>208000</v>
      </c>
      <c r="H20" s="113">
        <f>H19*8*0.8</f>
        <v>7488</v>
      </c>
      <c r="I20" s="114">
        <f t="shared" si="1"/>
        <v>104000</v>
      </c>
      <c r="J20" s="114">
        <f t="shared" si="1"/>
        <v>3744</v>
      </c>
      <c r="K20" s="102"/>
    </row>
    <row r="21" spans="1:11" ht="16.5" customHeight="1" thickBot="1">
      <c r="A21" s="108"/>
      <c r="B21" s="109"/>
      <c r="C21" s="109"/>
      <c r="D21" s="110"/>
      <c r="E21" s="112"/>
      <c r="F21" s="112"/>
      <c r="G21" s="113"/>
      <c r="H21" s="113"/>
      <c r="I21" s="114"/>
      <c r="J21" s="114"/>
      <c r="K21" s="102"/>
    </row>
    <row r="22" spans="1:11" ht="16.5" customHeight="1" thickBot="1">
      <c r="A22" s="108" t="s">
        <v>451</v>
      </c>
      <c r="B22" s="109" t="s">
        <v>9</v>
      </c>
      <c r="C22" s="109" t="s">
        <v>452</v>
      </c>
      <c r="D22" s="110" t="s">
        <v>419</v>
      </c>
      <c r="E22" s="111" t="s">
        <v>8</v>
      </c>
      <c r="F22" s="112">
        <v>1</v>
      </c>
      <c r="G22" s="113">
        <f>G4/4</f>
        <v>37500</v>
      </c>
      <c r="H22" s="113">
        <f>H4/4</f>
        <v>1350</v>
      </c>
      <c r="I22" s="114">
        <f t="shared" ref="I22:J29" si="2">G22*0.5</f>
        <v>18750</v>
      </c>
      <c r="J22" s="114">
        <f t="shared" si="2"/>
        <v>675</v>
      </c>
      <c r="K22" s="102"/>
    </row>
    <row r="23" spans="1:11" ht="16.5" customHeight="1" thickBot="1">
      <c r="A23" s="108" t="s">
        <v>453</v>
      </c>
      <c r="B23" s="109" t="s">
        <v>9</v>
      </c>
      <c r="C23" s="109" t="s">
        <v>454</v>
      </c>
      <c r="D23" s="110" t="s">
        <v>419</v>
      </c>
      <c r="E23" s="111" t="s">
        <v>8</v>
      </c>
      <c r="F23" s="112">
        <v>1</v>
      </c>
      <c r="G23" s="113">
        <f>G22*8*0.8</f>
        <v>240000</v>
      </c>
      <c r="H23" s="113">
        <f>H22*8*0.8</f>
        <v>8640</v>
      </c>
      <c r="I23" s="114">
        <f t="shared" si="2"/>
        <v>120000</v>
      </c>
      <c r="J23" s="114">
        <f t="shared" si="2"/>
        <v>4320</v>
      </c>
      <c r="K23" s="102"/>
    </row>
    <row r="24" spans="1:11" ht="16.5" customHeight="1" thickBot="1">
      <c r="A24" s="108" t="s">
        <v>455</v>
      </c>
      <c r="B24" s="109" t="s">
        <v>9</v>
      </c>
      <c r="C24" s="109" t="s">
        <v>456</v>
      </c>
      <c r="D24" s="110" t="s">
        <v>419</v>
      </c>
      <c r="E24" s="111" t="s">
        <v>8</v>
      </c>
      <c r="F24" s="112">
        <v>1</v>
      </c>
      <c r="G24" s="113">
        <f>G22*1.2</f>
        <v>45000</v>
      </c>
      <c r="H24" s="113">
        <f>H22*1.2</f>
        <v>1620</v>
      </c>
      <c r="I24" s="114">
        <f t="shared" si="2"/>
        <v>22500</v>
      </c>
      <c r="J24" s="114">
        <f t="shared" si="2"/>
        <v>810</v>
      </c>
      <c r="K24" s="102"/>
    </row>
    <row r="25" spans="1:11" ht="16.5" customHeight="1" thickBot="1">
      <c r="A25" s="108" t="s">
        <v>457</v>
      </c>
      <c r="B25" s="109" t="s">
        <v>9</v>
      </c>
      <c r="C25" s="109" t="s">
        <v>458</v>
      </c>
      <c r="D25" s="110" t="s">
        <v>419</v>
      </c>
      <c r="E25" s="111" t="s">
        <v>8</v>
      </c>
      <c r="F25" s="112">
        <v>1</v>
      </c>
      <c r="G25" s="113">
        <f>G24*8*0.8</f>
        <v>288000</v>
      </c>
      <c r="H25" s="113">
        <f>H24*8*0.8</f>
        <v>10368</v>
      </c>
      <c r="I25" s="114">
        <f t="shared" si="2"/>
        <v>144000</v>
      </c>
      <c r="J25" s="114">
        <f t="shared" si="2"/>
        <v>5184</v>
      </c>
      <c r="K25" s="102"/>
    </row>
    <row r="26" spans="1:11" ht="16.5" customHeight="1" thickBot="1">
      <c r="A26" s="108" t="s">
        <v>459</v>
      </c>
      <c r="B26" s="109" t="s">
        <v>9</v>
      </c>
      <c r="C26" s="109" t="s">
        <v>460</v>
      </c>
      <c r="D26" s="110" t="s">
        <v>419</v>
      </c>
      <c r="E26" s="111" t="s">
        <v>8</v>
      </c>
      <c r="F26" s="112">
        <v>1</v>
      </c>
      <c r="G26" s="113">
        <f>G22*1.4</f>
        <v>52500</v>
      </c>
      <c r="H26" s="113">
        <f>H22*1.4</f>
        <v>1889.9999999999998</v>
      </c>
      <c r="I26" s="114">
        <f t="shared" si="2"/>
        <v>26250</v>
      </c>
      <c r="J26" s="114">
        <f t="shared" si="2"/>
        <v>944.99999999999989</v>
      </c>
      <c r="K26" s="102"/>
    </row>
    <row r="27" spans="1:11" ht="16.5" customHeight="1" thickBot="1">
      <c r="A27" s="108" t="s">
        <v>461</v>
      </c>
      <c r="B27" s="109" t="s">
        <v>9</v>
      </c>
      <c r="C27" s="109" t="s">
        <v>462</v>
      </c>
      <c r="D27" s="110" t="s">
        <v>419</v>
      </c>
      <c r="E27" s="111" t="s">
        <v>8</v>
      </c>
      <c r="F27" s="112">
        <v>1</v>
      </c>
      <c r="G27" s="113">
        <f>G26*8*0.8</f>
        <v>336000</v>
      </c>
      <c r="H27" s="113">
        <f>H26*8*0.8</f>
        <v>12096</v>
      </c>
      <c r="I27" s="114">
        <f t="shared" si="2"/>
        <v>168000</v>
      </c>
      <c r="J27" s="114">
        <f t="shared" si="2"/>
        <v>6048</v>
      </c>
      <c r="K27" s="102"/>
    </row>
    <row r="28" spans="1:11" ht="16.5" customHeight="1" thickBot="1">
      <c r="A28" s="108" t="s">
        <v>463</v>
      </c>
      <c r="B28" s="109" t="s">
        <v>9</v>
      </c>
      <c r="C28" s="109" t="s">
        <v>464</v>
      </c>
      <c r="D28" s="110" t="s">
        <v>432</v>
      </c>
      <c r="E28" s="112" t="s">
        <v>15</v>
      </c>
      <c r="F28" s="112">
        <v>1</v>
      </c>
      <c r="G28" s="113">
        <f>(G22-G49)*1.3</f>
        <v>9750</v>
      </c>
      <c r="H28" s="113">
        <f>(H22-H49)*1.3</f>
        <v>351</v>
      </c>
      <c r="I28" s="114">
        <f t="shared" si="2"/>
        <v>4875</v>
      </c>
      <c r="J28" s="114">
        <f t="shared" si="2"/>
        <v>175.5</v>
      </c>
      <c r="K28" s="102"/>
    </row>
    <row r="29" spans="1:11" ht="16.5" customHeight="1" thickBot="1">
      <c r="A29" s="108" t="s">
        <v>465</v>
      </c>
      <c r="B29" s="109" t="s">
        <v>9</v>
      </c>
      <c r="C29" s="109" t="s">
        <v>466</v>
      </c>
      <c r="D29" s="110" t="s">
        <v>432</v>
      </c>
      <c r="E29" s="112" t="s">
        <v>15</v>
      </c>
      <c r="F29" s="112">
        <v>1</v>
      </c>
      <c r="G29" s="113">
        <f>G28*8*0.8</f>
        <v>62400</v>
      </c>
      <c r="H29" s="113">
        <f>H28*8*0.8</f>
        <v>2246.4</v>
      </c>
      <c r="I29" s="114">
        <f t="shared" si="2"/>
        <v>31200</v>
      </c>
      <c r="J29" s="114">
        <f t="shared" si="2"/>
        <v>1123.2</v>
      </c>
      <c r="K29" s="102"/>
    </row>
    <row r="30" spans="1:11" ht="16.5" customHeight="1">
      <c r="A30" s="116"/>
      <c r="B30" s="116"/>
      <c r="C30" s="116"/>
      <c r="D30" s="117"/>
      <c r="E30" s="118"/>
      <c r="F30" s="118"/>
      <c r="G30" s="119"/>
      <c r="H30" s="119"/>
      <c r="I30" s="120"/>
      <c r="J30" s="120"/>
      <c r="K30" s="102"/>
    </row>
    <row r="31" spans="1:11" ht="38" thickBot="1">
      <c r="A31" s="101" t="s">
        <v>467</v>
      </c>
      <c r="B31" s="101"/>
      <c r="C31" s="101"/>
      <c r="D31" s="101"/>
      <c r="E31" s="102"/>
      <c r="F31" s="102"/>
      <c r="K31" s="102"/>
    </row>
    <row r="32" spans="1:11" ht="30">
      <c r="A32" s="103" t="s">
        <v>222</v>
      </c>
      <c r="B32" s="104" t="s">
        <v>414</v>
      </c>
      <c r="C32" s="104" t="s">
        <v>1</v>
      </c>
      <c r="D32" s="104" t="s">
        <v>2</v>
      </c>
      <c r="E32" s="105" t="s">
        <v>3</v>
      </c>
      <c r="F32" s="105" t="s">
        <v>4</v>
      </c>
      <c r="G32" s="106" t="s">
        <v>415</v>
      </c>
      <c r="H32" s="106" t="s">
        <v>416</v>
      </c>
      <c r="I32" s="107" t="s">
        <v>559</v>
      </c>
      <c r="J32" s="107" t="s">
        <v>560</v>
      </c>
      <c r="K32" s="102"/>
    </row>
    <row r="33" spans="1:11" ht="16.5" customHeight="1" thickBot="1">
      <c r="A33" s="108" t="s">
        <v>468</v>
      </c>
      <c r="B33" s="109" t="s">
        <v>469</v>
      </c>
      <c r="C33" s="109" t="s">
        <v>470</v>
      </c>
      <c r="D33" s="110" t="s">
        <v>471</v>
      </c>
      <c r="E33" s="111" t="s">
        <v>8</v>
      </c>
      <c r="F33" s="112">
        <v>1</v>
      </c>
      <c r="G33" s="113">
        <v>100000</v>
      </c>
      <c r="H33" s="113">
        <v>3600</v>
      </c>
      <c r="I33" s="114">
        <f t="shared" ref="I33:J52" si="3">G33*0.5</f>
        <v>50000</v>
      </c>
      <c r="J33" s="114">
        <f t="shared" si="3"/>
        <v>1800</v>
      </c>
      <c r="K33" s="115"/>
    </row>
    <row r="34" spans="1:11" ht="16.5" customHeight="1" thickBot="1">
      <c r="A34" s="108" t="s">
        <v>472</v>
      </c>
      <c r="B34" s="109" t="s">
        <v>469</v>
      </c>
      <c r="C34" s="109" t="s">
        <v>473</v>
      </c>
      <c r="D34" s="110" t="s">
        <v>471</v>
      </c>
      <c r="E34" s="111" t="s">
        <v>8</v>
      </c>
      <c r="F34" s="112">
        <v>1</v>
      </c>
      <c r="G34" s="113">
        <f>G33*8*0.8</f>
        <v>640000</v>
      </c>
      <c r="H34" s="113">
        <f>H33*8*0.8</f>
        <v>23040</v>
      </c>
      <c r="I34" s="114">
        <f t="shared" si="3"/>
        <v>320000</v>
      </c>
      <c r="J34" s="114">
        <f t="shared" si="3"/>
        <v>11520</v>
      </c>
      <c r="K34" s="115"/>
    </row>
    <row r="35" spans="1:11" ht="16.5" customHeight="1" thickBot="1">
      <c r="A35" s="108" t="s">
        <v>474</v>
      </c>
      <c r="B35" s="109" t="s">
        <v>469</v>
      </c>
      <c r="C35" s="109" t="s">
        <v>475</v>
      </c>
      <c r="D35" s="110" t="s">
        <v>471</v>
      </c>
      <c r="E35" s="111" t="s">
        <v>8</v>
      </c>
      <c r="F35" s="112">
        <v>1</v>
      </c>
      <c r="G35" s="113">
        <f>G33*1.2</f>
        <v>120000</v>
      </c>
      <c r="H35" s="113">
        <f>H33*1.2</f>
        <v>4320</v>
      </c>
      <c r="I35" s="114">
        <f t="shared" si="3"/>
        <v>60000</v>
      </c>
      <c r="J35" s="114">
        <f t="shared" si="3"/>
        <v>2160</v>
      </c>
      <c r="K35" s="115"/>
    </row>
    <row r="36" spans="1:11" ht="16.5" customHeight="1" thickBot="1">
      <c r="A36" s="108" t="s">
        <v>476</v>
      </c>
      <c r="B36" s="109" t="s">
        <v>469</v>
      </c>
      <c r="C36" s="109" t="s">
        <v>477</v>
      </c>
      <c r="D36" s="110" t="s">
        <v>471</v>
      </c>
      <c r="E36" s="111" t="s">
        <v>8</v>
      </c>
      <c r="F36" s="112">
        <v>1</v>
      </c>
      <c r="G36" s="113">
        <f>G35*8*0.8</f>
        <v>768000</v>
      </c>
      <c r="H36" s="113">
        <f>H35*8*0.8</f>
        <v>27648</v>
      </c>
      <c r="I36" s="114">
        <f t="shared" si="3"/>
        <v>384000</v>
      </c>
      <c r="J36" s="114">
        <f t="shared" si="3"/>
        <v>13824</v>
      </c>
      <c r="K36" s="115"/>
    </row>
    <row r="37" spans="1:11" ht="16.5" customHeight="1" thickBot="1">
      <c r="A37" s="108" t="s">
        <v>478</v>
      </c>
      <c r="B37" s="109" t="s">
        <v>469</v>
      </c>
      <c r="C37" s="109" t="s">
        <v>479</v>
      </c>
      <c r="D37" s="110" t="s">
        <v>471</v>
      </c>
      <c r="E37" s="111" t="s">
        <v>8</v>
      </c>
      <c r="F37" s="112">
        <v>1</v>
      </c>
      <c r="G37" s="113">
        <f>G33*1.4</f>
        <v>140000</v>
      </c>
      <c r="H37" s="113">
        <f>H33*1.4</f>
        <v>5040</v>
      </c>
      <c r="I37" s="114">
        <f t="shared" si="3"/>
        <v>70000</v>
      </c>
      <c r="J37" s="114">
        <f t="shared" si="3"/>
        <v>2520</v>
      </c>
      <c r="K37" s="115"/>
    </row>
    <row r="38" spans="1:11" ht="16.5" customHeight="1" thickBot="1">
      <c r="A38" s="108" t="s">
        <v>480</v>
      </c>
      <c r="B38" s="109" t="s">
        <v>469</v>
      </c>
      <c r="C38" s="109" t="s">
        <v>481</v>
      </c>
      <c r="D38" s="110" t="s">
        <v>471</v>
      </c>
      <c r="E38" s="111" t="s">
        <v>8</v>
      </c>
      <c r="F38" s="112">
        <v>1</v>
      </c>
      <c r="G38" s="113">
        <f>G37*8*0.8</f>
        <v>896000</v>
      </c>
      <c r="H38" s="113">
        <f>H37*8*0.8</f>
        <v>32256</v>
      </c>
      <c r="I38" s="114">
        <f t="shared" si="3"/>
        <v>448000</v>
      </c>
      <c r="J38" s="114">
        <f t="shared" si="3"/>
        <v>16128</v>
      </c>
      <c r="K38" s="115"/>
    </row>
    <row r="39" spans="1:11" ht="16.5" customHeight="1" thickBot="1">
      <c r="A39" s="108"/>
      <c r="B39" s="109"/>
      <c r="C39" s="109"/>
      <c r="D39" s="110"/>
      <c r="E39" s="112"/>
      <c r="F39" s="112"/>
      <c r="G39" s="113"/>
      <c r="H39" s="113"/>
      <c r="I39" s="114">
        <f t="shared" si="3"/>
        <v>0</v>
      </c>
      <c r="J39" s="114">
        <f t="shared" si="3"/>
        <v>0</v>
      </c>
      <c r="K39" s="102"/>
    </row>
    <row r="40" spans="1:11" ht="16.5" customHeight="1" thickBot="1">
      <c r="A40" s="108" t="s">
        <v>482</v>
      </c>
      <c r="B40" s="109" t="s">
        <v>469</v>
      </c>
      <c r="C40" s="109" t="s">
        <v>483</v>
      </c>
      <c r="D40" s="110" t="s">
        <v>471</v>
      </c>
      <c r="E40" s="111" t="s">
        <v>8</v>
      </c>
      <c r="F40" s="112">
        <v>1</v>
      </c>
      <c r="G40" s="113">
        <f>G33/2</f>
        <v>50000</v>
      </c>
      <c r="H40" s="113">
        <f>H33/2</f>
        <v>1800</v>
      </c>
      <c r="I40" s="114">
        <f t="shared" si="3"/>
        <v>25000</v>
      </c>
      <c r="J40" s="114">
        <f t="shared" si="3"/>
        <v>900</v>
      </c>
      <c r="K40" s="102"/>
    </row>
    <row r="41" spans="1:11" ht="16.5" customHeight="1" thickBot="1">
      <c r="A41" s="108" t="s">
        <v>484</v>
      </c>
      <c r="B41" s="109" t="s">
        <v>469</v>
      </c>
      <c r="C41" s="109" t="s">
        <v>485</v>
      </c>
      <c r="D41" s="110" t="s">
        <v>471</v>
      </c>
      <c r="E41" s="111" t="s">
        <v>8</v>
      </c>
      <c r="F41" s="112">
        <v>1</v>
      </c>
      <c r="G41" s="113">
        <f>G40*8*0.8</f>
        <v>320000</v>
      </c>
      <c r="H41" s="113">
        <f>H40*8*0.8</f>
        <v>11520</v>
      </c>
      <c r="I41" s="114">
        <f t="shared" si="3"/>
        <v>160000</v>
      </c>
      <c r="J41" s="114">
        <f t="shared" si="3"/>
        <v>5760</v>
      </c>
      <c r="K41" s="102"/>
    </row>
    <row r="42" spans="1:11" ht="16.5" customHeight="1" thickBot="1">
      <c r="A42" s="108" t="s">
        <v>486</v>
      </c>
      <c r="B42" s="109" t="s">
        <v>469</v>
      </c>
      <c r="C42" s="109" t="s">
        <v>487</v>
      </c>
      <c r="D42" s="110" t="s">
        <v>471</v>
      </c>
      <c r="E42" s="111" t="s">
        <v>8</v>
      </c>
      <c r="F42" s="112">
        <v>1</v>
      </c>
      <c r="G42" s="113">
        <f>G40*1.2</f>
        <v>60000</v>
      </c>
      <c r="H42" s="113">
        <f>H40*1.2</f>
        <v>2160</v>
      </c>
      <c r="I42" s="114">
        <f t="shared" si="3"/>
        <v>30000</v>
      </c>
      <c r="J42" s="114">
        <f t="shared" si="3"/>
        <v>1080</v>
      </c>
      <c r="K42" s="102"/>
    </row>
    <row r="43" spans="1:11" ht="16.5" customHeight="1" thickBot="1">
      <c r="A43" s="108" t="s">
        <v>488</v>
      </c>
      <c r="B43" s="109" t="s">
        <v>469</v>
      </c>
      <c r="C43" s="109" t="s">
        <v>489</v>
      </c>
      <c r="D43" s="110" t="s">
        <v>471</v>
      </c>
      <c r="E43" s="111" t="s">
        <v>8</v>
      </c>
      <c r="F43" s="112">
        <v>1</v>
      </c>
      <c r="G43" s="113">
        <f>G42*8*0.8</f>
        <v>384000</v>
      </c>
      <c r="H43" s="113">
        <f>H42*8*0.8</f>
        <v>13824</v>
      </c>
      <c r="I43" s="114">
        <f t="shared" si="3"/>
        <v>192000</v>
      </c>
      <c r="J43" s="114">
        <f t="shared" si="3"/>
        <v>6912</v>
      </c>
      <c r="K43" s="102"/>
    </row>
    <row r="44" spans="1:11" ht="16.5" customHeight="1" thickBot="1">
      <c r="A44" s="108" t="s">
        <v>490</v>
      </c>
      <c r="B44" s="109" t="s">
        <v>469</v>
      </c>
      <c r="C44" s="109" t="s">
        <v>491</v>
      </c>
      <c r="D44" s="110" t="s">
        <v>471</v>
      </c>
      <c r="E44" s="111" t="s">
        <v>8</v>
      </c>
      <c r="F44" s="112">
        <v>1</v>
      </c>
      <c r="G44" s="113">
        <f>G40*1.4</f>
        <v>70000</v>
      </c>
      <c r="H44" s="113">
        <f>H40*1.4</f>
        <v>2520</v>
      </c>
      <c r="I44" s="114">
        <f t="shared" si="3"/>
        <v>35000</v>
      </c>
      <c r="J44" s="114">
        <f t="shared" si="3"/>
        <v>1260</v>
      </c>
      <c r="K44" s="102"/>
    </row>
    <row r="45" spans="1:11" ht="16.5" customHeight="1" thickBot="1">
      <c r="A45" s="108" t="s">
        <v>492</v>
      </c>
      <c r="B45" s="109" t="s">
        <v>469</v>
      </c>
      <c r="C45" s="109" t="s">
        <v>493</v>
      </c>
      <c r="D45" s="110" t="s">
        <v>471</v>
      </c>
      <c r="E45" s="111" t="s">
        <v>8</v>
      </c>
      <c r="F45" s="112">
        <v>1</v>
      </c>
      <c r="G45" s="113">
        <f>G44*8*0.8</f>
        <v>448000</v>
      </c>
      <c r="H45" s="113">
        <f>H44*8*0.8</f>
        <v>16128</v>
      </c>
      <c r="I45" s="114">
        <f t="shared" si="3"/>
        <v>224000</v>
      </c>
      <c r="J45" s="114">
        <f t="shared" si="3"/>
        <v>8064</v>
      </c>
      <c r="K45" s="102"/>
    </row>
    <row r="46" spans="1:11" ht="16.5" customHeight="1" thickBot="1">
      <c r="A46" s="108"/>
      <c r="B46" s="109"/>
      <c r="C46" s="109"/>
      <c r="D46" s="110"/>
      <c r="E46" s="112"/>
      <c r="F46" s="112"/>
      <c r="G46" s="113"/>
      <c r="H46" s="113"/>
      <c r="I46" s="114">
        <f t="shared" si="3"/>
        <v>0</v>
      </c>
      <c r="J46" s="114">
        <f t="shared" si="3"/>
        <v>0</v>
      </c>
      <c r="K46" s="102"/>
    </row>
    <row r="47" spans="1:11" ht="16.5" customHeight="1" thickBot="1">
      <c r="A47" s="108" t="s">
        <v>494</v>
      </c>
      <c r="B47" s="109" t="s">
        <v>469</v>
      </c>
      <c r="C47" s="109" t="s">
        <v>495</v>
      </c>
      <c r="D47" s="110" t="s">
        <v>471</v>
      </c>
      <c r="E47" s="111" t="s">
        <v>8</v>
      </c>
      <c r="F47" s="112">
        <v>1</v>
      </c>
      <c r="G47" s="113">
        <f>G33/4</f>
        <v>25000</v>
      </c>
      <c r="H47" s="113">
        <f>H33/4</f>
        <v>900</v>
      </c>
      <c r="I47" s="114">
        <f t="shared" si="3"/>
        <v>12500</v>
      </c>
      <c r="J47" s="114">
        <f t="shared" si="3"/>
        <v>450</v>
      </c>
      <c r="K47" s="102"/>
    </row>
    <row r="48" spans="1:11" ht="16.5" customHeight="1" thickBot="1">
      <c r="A48" s="108" t="s">
        <v>496</v>
      </c>
      <c r="B48" s="109" t="s">
        <v>469</v>
      </c>
      <c r="C48" s="109" t="s">
        <v>497</v>
      </c>
      <c r="D48" s="110" t="s">
        <v>471</v>
      </c>
      <c r="E48" s="111" t="s">
        <v>8</v>
      </c>
      <c r="F48" s="112">
        <v>1</v>
      </c>
      <c r="G48" s="113">
        <f>G47*8*0.8</f>
        <v>160000</v>
      </c>
      <c r="H48" s="113">
        <f>H47*8*0.8</f>
        <v>5760</v>
      </c>
      <c r="I48" s="114">
        <f t="shared" si="3"/>
        <v>80000</v>
      </c>
      <c r="J48" s="114">
        <f t="shared" si="3"/>
        <v>2880</v>
      </c>
      <c r="K48" s="102"/>
    </row>
    <row r="49" spans="1:11" ht="16.5" customHeight="1" thickBot="1">
      <c r="A49" s="108" t="s">
        <v>498</v>
      </c>
      <c r="B49" s="109" t="s">
        <v>469</v>
      </c>
      <c r="C49" s="109" t="s">
        <v>499</v>
      </c>
      <c r="D49" s="110" t="s">
        <v>471</v>
      </c>
      <c r="E49" s="111" t="s">
        <v>8</v>
      </c>
      <c r="F49" s="112">
        <v>1</v>
      </c>
      <c r="G49" s="113">
        <f>G47*1.2</f>
        <v>30000</v>
      </c>
      <c r="H49" s="113">
        <f>H47*1.2</f>
        <v>1080</v>
      </c>
      <c r="I49" s="114">
        <f t="shared" si="3"/>
        <v>15000</v>
      </c>
      <c r="J49" s="114">
        <f t="shared" si="3"/>
        <v>540</v>
      </c>
      <c r="K49" s="102"/>
    </row>
    <row r="50" spans="1:11" ht="16.5" customHeight="1" thickBot="1">
      <c r="A50" s="108" t="s">
        <v>500</v>
      </c>
      <c r="B50" s="109" t="s">
        <v>469</v>
      </c>
      <c r="C50" s="109" t="s">
        <v>501</v>
      </c>
      <c r="D50" s="110" t="s">
        <v>471</v>
      </c>
      <c r="E50" s="111" t="s">
        <v>8</v>
      </c>
      <c r="F50" s="112">
        <v>1</v>
      </c>
      <c r="G50" s="113">
        <f>G49*8*0.8</f>
        <v>192000</v>
      </c>
      <c r="H50" s="113">
        <f>H49*8*0.8</f>
        <v>6912</v>
      </c>
      <c r="I50" s="114">
        <f t="shared" si="3"/>
        <v>96000</v>
      </c>
      <c r="J50" s="114">
        <f t="shared" si="3"/>
        <v>3456</v>
      </c>
      <c r="K50" s="102"/>
    </row>
    <row r="51" spans="1:11" ht="16.5" customHeight="1" thickBot="1">
      <c r="A51" s="108" t="s">
        <v>502</v>
      </c>
      <c r="B51" s="109" t="s">
        <v>469</v>
      </c>
      <c r="C51" s="109" t="s">
        <v>503</v>
      </c>
      <c r="D51" s="110" t="s">
        <v>471</v>
      </c>
      <c r="E51" s="111" t="s">
        <v>8</v>
      </c>
      <c r="F51" s="112">
        <v>1</v>
      </c>
      <c r="G51" s="113">
        <f>G47*1.4</f>
        <v>35000</v>
      </c>
      <c r="H51" s="113">
        <f>H47*1.4</f>
        <v>1260</v>
      </c>
      <c r="I51" s="114">
        <f t="shared" si="3"/>
        <v>17500</v>
      </c>
      <c r="J51" s="114">
        <f t="shared" si="3"/>
        <v>630</v>
      </c>
      <c r="K51" s="102"/>
    </row>
    <row r="52" spans="1:11" ht="16.5" customHeight="1" thickBot="1">
      <c r="A52" s="108" t="s">
        <v>504</v>
      </c>
      <c r="B52" s="109" t="s">
        <v>469</v>
      </c>
      <c r="C52" s="109" t="s">
        <v>505</v>
      </c>
      <c r="D52" s="110" t="s">
        <v>471</v>
      </c>
      <c r="E52" s="111" t="s">
        <v>8</v>
      </c>
      <c r="F52" s="112">
        <v>1</v>
      </c>
      <c r="G52" s="113">
        <f>G51*8*0.8</f>
        <v>224000</v>
      </c>
      <c r="H52" s="113">
        <f>H51*8*0.8</f>
        <v>8064</v>
      </c>
      <c r="I52" s="114">
        <f t="shared" si="3"/>
        <v>112000</v>
      </c>
      <c r="J52" s="114">
        <f t="shared" si="3"/>
        <v>4032</v>
      </c>
      <c r="K52" s="102"/>
    </row>
    <row r="53" spans="1:11" ht="16.5" customHeight="1"/>
    <row r="54" spans="1:11" ht="16.5" customHeight="1">
      <c r="A54" s="98" t="s">
        <v>710</v>
      </c>
    </row>
    <row r="55" spans="1:11" ht="16.5" customHeight="1"/>
    <row r="56" spans="1:11" ht="16.5" customHeight="1"/>
    <row r="57" spans="1:11" ht="16.5" customHeight="1"/>
    <row r="58" spans="1:11" ht="16.5" customHeight="1"/>
    <row r="59" spans="1:11" ht="16.5" customHeight="1"/>
    <row r="60" spans="1:11" ht="16.5" customHeight="1"/>
    <row r="61" spans="1:11" ht="16.5" customHeight="1"/>
    <row r="62" spans="1:11" ht="16.5" customHeight="1"/>
    <row r="63" spans="1:11" ht="16.5" customHeight="1"/>
    <row r="64" spans="1:11"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sheetData>
  <phoneticPr fontId="10" type="noConversion"/>
  <pageMargins left="0.25" right="0.25" top="0.75" bottom="0.75"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workbookViewId="0"/>
  </sheetViews>
  <sheetFormatPr baseColWidth="10" defaultColWidth="11.140625" defaultRowHeight="15" customHeight="1"/>
  <cols>
    <col min="1" max="1" width="8.85546875" customWidth="1"/>
    <col min="2" max="2" width="19.42578125" customWidth="1"/>
    <col min="3" max="3" width="15.5703125" customWidth="1"/>
    <col min="4" max="4" width="36.7109375" customWidth="1"/>
    <col min="5" max="6" width="12" customWidth="1"/>
    <col min="7" max="7" width="10.42578125" customWidth="1"/>
    <col min="8" max="8" width="11.28515625" customWidth="1"/>
    <col min="9" max="9" width="12.85546875" customWidth="1"/>
    <col min="10" max="10" width="13.28515625" customWidth="1"/>
    <col min="11" max="11" width="17" customWidth="1"/>
    <col min="12" max="26" width="6.85546875" customWidth="1"/>
  </cols>
  <sheetData>
    <row r="1" spans="1:11" ht="16.5" customHeight="1">
      <c r="B1" s="2"/>
      <c r="C1" s="66" t="s">
        <v>31</v>
      </c>
      <c r="D1" s="66" t="s">
        <v>32</v>
      </c>
      <c r="E1" s="66" t="s">
        <v>33</v>
      </c>
      <c r="F1" s="5" t="s">
        <v>34</v>
      </c>
      <c r="G1" s="66" t="s">
        <v>35</v>
      </c>
      <c r="H1" s="66" t="s">
        <v>36</v>
      </c>
      <c r="I1" s="66" t="s">
        <v>37</v>
      </c>
      <c r="J1" s="67" t="s">
        <v>38</v>
      </c>
      <c r="K1" s="67" t="s">
        <v>39</v>
      </c>
    </row>
    <row r="2" spans="1:11" ht="16.5" customHeight="1">
      <c r="A2" s="176" t="s">
        <v>40</v>
      </c>
      <c r="B2" s="68" t="s">
        <v>40</v>
      </c>
      <c r="C2" s="69" t="s">
        <v>41</v>
      </c>
      <c r="D2" s="69" t="s">
        <v>42</v>
      </c>
      <c r="E2" s="70">
        <v>129000</v>
      </c>
      <c r="F2" s="70">
        <v>116422.5</v>
      </c>
      <c r="G2" s="70">
        <f>F2+160</f>
        <v>116582.5</v>
      </c>
      <c r="H2" s="70">
        <f>G2/0.95</f>
        <v>122718.42105263159</v>
      </c>
      <c r="I2" s="71">
        <f t="shared" ref="I2:I4" si="0">H2*33</f>
        <v>4049707.8947368423</v>
      </c>
      <c r="J2" s="71">
        <v>3837000</v>
      </c>
      <c r="K2" s="71">
        <v>4265000</v>
      </c>
    </row>
    <row r="3" spans="1:11" ht="16.5" customHeight="1">
      <c r="A3" s="177"/>
      <c r="B3" s="68" t="s">
        <v>40</v>
      </c>
      <c r="C3" s="69" t="s">
        <v>43</v>
      </c>
      <c r="D3" s="69" t="s">
        <v>44</v>
      </c>
      <c r="E3" s="70">
        <v>20000</v>
      </c>
      <c r="F3" s="70">
        <v>18050</v>
      </c>
      <c r="G3" s="72" t="s">
        <v>45</v>
      </c>
      <c r="H3" s="70">
        <f t="shared" ref="H3:H4" si="1">F3/0.95</f>
        <v>19000</v>
      </c>
      <c r="I3" s="71">
        <f t="shared" si="0"/>
        <v>627000</v>
      </c>
      <c r="J3" s="71">
        <v>575000</v>
      </c>
      <c r="K3" s="71">
        <v>639000</v>
      </c>
    </row>
    <row r="4" spans="1:11" ht="16.5" customHeight="1">
      <c r="A4" s="177"/>
      <c r="B4" s="68" t="s">
        <v>40</v>
      </c>
      <c r="C4" s="69" t="s">
        <v>46</v>
      </c>
      <c r="D4" s="69" t="s">
        <v>47</v>
      </c>
      <c r="E4" s="70">
        <v>22350</v>
      </c>
      <c r="F4" s="70">
        <v>20170.88</v>
      </c>
      <c r="G4" s="72" t="s">
        <v>45</v>
      </c>
      <c r="H4" s="70">
        <f t="shared" si="1"/>
        <v>21232.505263157898</v>
      </c>
      <c r="I4" s="71">
        <f t="shared" si="0"/>
        <v>700672.67368421063</v>
      </c>
      <c r="J4" s="71">
        <v>1638000</v>
      </c>
      <c r="K4" s="71">
        <v>1820000</v>
      </c>
    </row>
    <row r="5" spans="1:11" ht="16.5" customHeight="1">
      <c r="A5" s="177"/>
      <c r="B5" s="68" t="s">
        <v>40</v>
      </c>
      <c r="C5" s="69" t="s">
        <v>48</v>
      </c>
      <c r="D5" s="69" t="s">
        <v>49</v>
      </c>
      <c r="E5" s="70">
        <v>63698</v>
      </c>
      <c r="F5" s="70">
        <v>57487.45</v>
      </c>
      <c r="G5" s="72"/>
      <c r="H5" s="70"/>
      <c r="I5" s="71"/>
      <c r="J5" s="71"/>
      <c r="K5" s="71"/>
    </row>
    <row r="6" spans="1:11" ht="16.5" customHeight="1">
      <c r="A6" s="177"/>
      <c r="B6" s="68" t="s">
        <v>50</v>
      </c>
      <c r="C6" s="69" t="s">
        <v>41</v>
      </c>
      <c r="D6" s="69" t="s">
        <v>42</v>
      </c>
      <c r="E6" s="70">
        <v>90300</v>
      </c>
      <c r="F6" s="70">
        <v>81495.75</v>
      </c>
      <c r="G6" s="70">
        <f>F6+160</f>
        <v>81655.75</v>
      </c>
      <c r="H6" s="70">
        <f t="shared" ref="H6:H9" si="2">F6/0.95</f>
        <v>85785</v>
      </c>
      <c r="I6" s="71">
        <f t="shared" ref="I6:I19" si="3">H6*33</f>
        <v>2830905</v>
      </c>
      <c r="J6" s="71">
        <v>2687500</v>
      </c>
      <c r="K6" s="71">
        <v>2985500</v>
      </c>
    </row>
    <row r="7" spans="1:11" ht="16.5" customHeight="1">
      <c r="A7" s="177"/>
      <c r="B7" s="68" t="s">
        <v>50</v>
      </c>
      <c r="C7" s="69" t="s">
        <v>43</v>
      </c>
      <c r="D7" s="69" t="s">
        <v>51</v>
      </c>
      <c r="E7" s="70">
        <v>20000</v>
      </c>
      <c r="F7" s="70">
        <v>18050</v>
      </c>
      <c r="G7" s="72" t="s">
        <v>45</v>
      </c>
      <c r="H7" s="70">
        <f t="shared" si="2"/>
        <v>19000</v>
      </c>
      <c r="I7" s="71">
        <f t="shared" si="3"/>
        <v>627000</v>
      </c>
      <c r="J7" s="71">
        <v>402300</v>
      </c>
      <c r="K7" s="71">
        <v>447300</v>
      </c>
    </row>
    <row r="8" spans="1:11" ht="16.5" customHeight="1">
      <c r="A8" s="177"/>
      <c r="B8" s="68" t="s">
        <v>50</v>
      </c>
      <c r="C8" s="69" t="s">
        <v>52</v>
      </c>
      <c r="D8" s="69" t="s">
        <v>53</v>
      </c>
      <c r="E8" s="70">
        <v>15645</v>
      </c>
      <c r="F8" s="70">
        <v>14119.62</v>
      </c>
      <c r="G8" s="72" t="s">
        <v>45</v>
      </c>
      <c r="H8" s="70">
        <f t="shared" si="2"/>
        <v>14862.757894736844</v>
      </c>
      <c r="I8" s="71">
        <f t="shared" si="3"/>
        <v>490471.01052631583</v>
      </c>
      <c r="J8" s="71">
        <v>1146550</v>
      </c>
      <c r="K8" s="71">
        <v>1274000</v>
      </c>
    </row>
    <row r="9" spans="1:11" ht="16.5" customHeight="1">
      <c r="A9" s="178"/>
      <c r="B9" s="68" t="s">
        <v>50</v>
      </c>
      <c r="C9" s="69" t="s">
        <v>54</v>
      </c>
      <c r="D9" s="69" t="s">
        <v>55</v>
      </c>
      <c r="E9" s="70">
        <v>44589</v>
      </c>
      <c r="F9" s="70">
        <v>40241.57</v>
      </c>
      <c r="G9" s="72" t="s">
        <v>45</v>
      </c>
      <c r="H9" s="70">
        <f t="shared" si="2"/>
        <v>42359.547368421052</v>
      </c>
      <c r="I9" s="71">
        <f t="shared" si="3"/>
        <v>1397865.0631578946</v>
      </c>
      <c r="J9" s="71">
        <v>1146550</v>
      </c>
      <c r="K9" s="71">
        <v>1274000</v>
      </c>
    </row>
    <row r="10" spans="1:11" ht="16.5" customHeight="1">
      <c r="A10" s="179" t="s">
        <v>56</v>
      </c>
      <c r="B10" s="9" t="s">
        <v>57</v>
      </c>
      <c r="C10" s="9" t="s">
        <v>41</v>
      </c>
      <c r="D10" s="9" t="s">
        <v>42</v>
      </c>
      <c r="E10" s="10">
        <v>129000</v>
      </c>
      <c r="F10" s="10">
        <v>98040</v>
      </c>
      <c r="G10" s="10">
        <f>F10+160</f>
        <v>98200</v>
      </c>
      <c r="H10" s="10">
        <f>G10/0.95</f>
        <v>103368.42105263159</v>
      </c>
      <c r="I10" s="11">
        <f t="shared" si="3"/>
        <v>3411157.8947368423</v>
      </c>
      <c r="J10" s="11">
        <v>3453800</v>
      </c>
      <c r="K10" s="11">
        <v>4265000</v>
      </c>
    </row>
    <row r="11" spans="1:11" ht="16.5" customHeight="1">
      <c r="A11" s="177"/>
      <c r="B11" s="9" t="s">
        <v>57</v>
      </c>
      <c r="C11" s="9" t="s">
        <v>43</v>
      </c>
      <c r="D11" s="9" t="s">
        <v>44</v>
      </c>
      <c r="E11" s="10">
        <v>20000</v>
      </c>
      <c r="F11" s="10">
        <v>15200</v>
      </c>
      <c r="G11" s="12" t="s">
        <v>45</v>
      </c>
      <c r="H11" s="10">
        <f t="shared" ref="H11:H13" si="4">F11/0.95</f>
        <v>16000</v>
      </c>
      <c r="I11" s="11">
        <f t="shared" si="3"/>
        <v>528000</v>
      </c>
      <c r="J11" s="11">
        <v>517500</v>
      </c>
      <c r="K11" s="11">
        <v>639000</v>
      </c>
    </row>
    <row r="12" spans="1:11" ht="16.5" customHeight="1">
      <c r="A12" s="177"/>
      <c r="B12" s="9" t="s">
        <v>57</v>
      </c>
      <c r="C12" s="9" t="s">
        <v>46</v>
      </c>
      <c r="D12" s="9" t="s">
        <v>47</v>
      </c>
      <c r="E12" s="10">
        <v>22350</v>
      </c>
      <c r="F12" s="10">
        <v>16986</v>
      </c>
      <c r="G12" s="12" t="s">
        <v>45</v>
      </c>
      <c r="H12" s="10">
        <f t="shared" si="4"/>
        <v>17880</v>
      </c>
      <c r="I12" s="11">
        <f t="shared" si="3"/>
        <v>590040</v>
      </c>
      <c r="J12" s="11">
        <v>1474200</v>
      </c>
      <c r="K12" s="11">
        <v>1820000</v>
      </c>
    </row>
    <row r="13" spans="1:11" ht="16.5" customHeight="1">
      <c r="A13" s="177"/>
      <c r="B13" s="9" t="s">
        <v>57</v>
      </c>
      <c r="C13" s="9" t="s">
        <v>48</v>
      </c>
      <c r="D13" s="9" t="s">
        <v>49</v>
      </c>
      <c r="E13" s="10">
        <v>63698</v>
      </c>
      <c r="F13" s="10">
        <v>48410.48</v>
      </c>
      <c r="G13" s="12"/>
      <c r="H13" s="10">
        <f t="shared" si="4"/>
        <v>50958.400000000009</v>
      </c>
      <c r="I13" s="11">
        <f t="shared" si="3"/>
        <v>1681627.2000000002</v>
      </c>
      <c r="J13" s="11"/>
      <c r="K13" s="11"/>
    </row>
    <row r="14" spans="1:11" ht="16.5" customHeight="1">
      <c r="A14" s="177"/>
      <c r="B14" s="13" t="s">
        <v>58</v>
      </c>
      <c r="C14" s="14" t="s">
        <v>41</v>
      </c>
      <c r="D14" s="14" t="s">
        <v>42</v>
      </c>
      <c r="E14" s="15">
        <v>90300</v>
      </c>
      <c r="F14" s="15">
        <v>68628</v>
      </c>
      <c r="G14" s="15">
        <f>F14+160</f>
        <v>68788</v>
      </c>
      <c r="H14" s="15">
        <f>G14/0.95</f>
        <v>72408.421052631587</v>
      </c>
      <c r="I14" s="16">
        <f t="shared" si="3"/>
        <v>2389477.8947368423</v>
      </c>
      <c r="J14" s="16">
        <v>2419300</v>
      </c>
      <c r="K14" s="16">
        <v>2985500</v>
      </c>
    </row>
    <row r="15" spans="1:11" ht="16.5" customHeight="1">
      <c r="A15" s="177"/>
      <c r="B15" s="13" t="s">
        <v>58</v>
      </c>
      <c r="C15" s="14" t="s">
        <v>43</v>
      </c>
      <c r="D15" s="14" t="s">
        <v>51</v>
      </c>
      <c r="E15" s="15">
        <v>20000</v>
      </c>
      <c r="F15" s="15">
        <v>10640</v>
      </c>
      <c r="G15" s="17" t="s">
        <v>45</v>
      </c>
      <c r="H15" s="15">
        <f t="shared" ref="H15:H16" si="5">F15/0.95</f>
        <v>11200</v>
      </c>
      <c r="I15" s="16">
        <f t="shared" si="3"/>
        <v>369600</v>
      </c>
      <c r="J15" s="16">
        <v>362100</v>
      </c>
      <c r="K15" s="16">
        <v>447300</v>
      </c>
    </row>
    <row r="16" spans="1:11" ht="16.5" customHeight="1">
      <c r="A16" s="177"/>
      <c r="B16" s="13" t="s">
        <v>58</v>
      </c>
      <c r="C16" s="14" t="s">
        <v>52</v>
      </c>
      <c r="D16" s="14" t="s">
        <v>53</v>
      </c>
      <c r="E16" s="15">
        <v>15645</v>
      </c>
      <c r="F16" s="15">
        <v>11890</v>
      </c>
      <c r="G16" s="17" t="s">
        <v>45</v>
      </c>
      <c r="H16" s="15">
        <f t="shared" si="5"/>
        <v>12515.789473684212</v>
      </c>
      <c r="I16" s="16">
        <f t="shared" si="3"/>
        <v>413021.05263157899</v>
      </c>
      <c r="J16" s="16">
        <v>1031900</v>
      </c>
      <c r="K16" s="16">
        <v>1274000</v>
      </c>
    </row>
    <row r="17" spans="1:11" ht="16.5" customHeight="1">
      <c r="A17" s="177"/>
      <c r="B17" s="18" t="s">
        <v>59</v>
      </c>
      <c r="C17" s="19" t="s">
        <v>41</v>
      </c>
      <c r="D17" s="19" t="s">
        <v>60</v>
      </c>
      <c r="E17" s="19"/>
      <c r="F17" s="20">
        <f t="shared" ref="F17:F19" si="6">F2*0.7</f>
        <v>81495.75</v>
      </c>
      <c r="G17" s="20">
        <f>F17+160</f>
        <v>81655.75</v>
      </c>
      <c r="H17" s="20">
        <f>G17/0.95</f>
        <v>85953.421052631587</v>
      </c>
      <c r="I17" s="21">
        <f t="shared" si="3"/>
        <v>2836462.8947368423</v>
      </c>
      <c r="J17" s="21">
        <v>2687500</v>
      </c>
      <c r="K17" s="21">
        <v>2985500</v>
      </c>
    </row>
    <row r="18" spans="1:11" ht="16.5" customHeight="1">
      <c r="A18" s="177"/>
      <c r="B18" s="18" t="s">
        <v>59</v>
      </c>
      <c r="C18" s="19" t="s">
        <v>61</v>
      </c>
      <c r="D18" s="19" t="s">
        <v>62</v>
      </c>
      <c r="E18" s="19"/>
      <c r="F18" s="20">
        <f t="shared" si="6"/>
        <v>12635</v>
      </c>
      <c r="G18" s="22" t="s">
        <v>45</v>
      </c>
      <c r="H18" s="20">
        <f t="shared" ref="H18:H19" si="7">F18/0.95</f>
        <v>13300</v>
      </c>
      <c r="I18" s="21">
        <f t="shared" si="3"/>
        <v>438900</v>
      </c>
      <c r="J18" s="21">
        <v>402300</v>
      </c>
      <c r="K18" s="21">
        <v>447300</v>
      </c>
    </row>
    <row r="19" spans="1:11" ht="16.5" customHeight="1">
      <c r="A19" s="178"/>
      <c r="B19" s="18" t="s">
        <v>59</v>
      </c>
      <c r="C19" s="19" t="s">
        <v>63</v>
      </c>
      <c r="D19" s="19" t="s">
        <v>64</v>
      </c>
      <c r="E19" s="19"/>
      <c r="F19" s="20">
        <f t="shared" si="6"/>
        <v>14119.616</v>
      </c>
      <c r="G19" s="22" t="s">
        <v>45</v>
      </c>
      <c r="H19" s="20">
        <f t="shared" si="7"/>
        <v>14862.753684210527</v>
      </c>
      <c r="I19" s="21">
        <f t="shared" si="3"/>
        <v>490470.87157894741</v>
      </c>
      <c r="J19" s="21">
        <v>1146550</v>
      </c>
      <c r="K19" s="21">
        <v>1274000</v>
      </c>
    </row>
    <row r="20" spans="1:11" ht="16.5" customHeight="1"/>
    <row r="21" spans="1:11" ht="16.5" customHeight="1"/>
    <row r="22" spans="1:11" ht="16.5" customHeight="1"/>
    <row r="23" spans="1:11" ht="16.5" customHeight="1"/>
    <row r="24" spans="1:11" ht="16.5" customHeight="1"/>
    <row r="25" spans="1:11" ht="16.5" customHeight="1"/>
    <row r="26" spans="1:11" ht="16.5" customHeight="1"/>
    <row r="27" spans="1:11" ht="16.5" customHeight="1"/>
    <row r="28" spans="1:11" ht="16.5" customHeight="1"/>
    <row r="29" spans="1:11" ht="16.5" customHeight="1"/>
    <row r="30" spans="1:11" ht="16.5" customHeight="1"/>
    <row r="31" spans="1:11" ht="16.5" customHeight="1"/>
    <row r="32" spans="1:11"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2">
    <mergeCell ref="A2:A9"/>
    <mergeCell ref="A10:A19"/>
  </mergeCells>
  <phoneticPr fontId="10" type="noConversion"/>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94FF3-3BD9-9B44-8EBC-A1812CCEE644}">
  <sheetPr>
    <pageSetUpPr fitToPage="1"/>
  </sheetPr>
  <dimension ref="A1:J734"/>
  <sheetViews>
    <sheetView zoomScale="120" zoomScaleNormal="120" workbookViewId="0">
      <pane ySplit="1" topLeftCell="A2" activePane="bottomLeft" state="frozen"/>
      <selection pane="bottomLeft" activeCell="A5" sqref="A5"/>
    </sheetView>
  </sheetViews>
  <sheetFormatPr baseColWidth="10" defaultColWidth="11.140625" defaultRowHeight="15" customHeight="1"/>
  <cols>
    <col min="1" max="1" width="18.85546875" style="155" customWidth="1"/>
    <col min="2" max="2" width="19.5703125" style="155" bestFit="1" customWidth="1"/>
    <col min="3" max="3" width="48.85546875" style="155" bestFit="1" customWidth="1"/>
    <col min="4" max="4" width="27.28515625" style="155" bestFit="1" customWidth="1"/>
    <col min="5" max="5" width="9.140625" style="155" customWidth="1"/>
    <col min="6" max="7" width="11.28515625" style="157" bestFit="1" customWidth="1"/>
    <col min="8" max="9" width="13" style="156" customWidth="1"/>
    <col min="10" max="10" width="11.42578125" style="155" customWidth="1"/>
    <col min="11" max="25" width="6.85546875" style="155" customWidth="1"/>
    <col min="26" max="16384" width="11.140625" style="155"/>
  </cols>
  <sheetData>
    <row r="1" spans="1:10" ht="24">
      <c r="A1" s="173" t="s">
        <v>412</v>
      </c>
      <c r="B1" s="173"/>
    </row>
    <row r="2" spans="1:10" ht="38" thickBot="1">
      <c r="A2" s="172" t="s">
        <v>713</v>
      </c>
      <c r="B2" s="172"/>
      <c r="C2" s="172"/>
      <c r="D2" s="172"/>
      <c r="E2" s="165"/>
      <c r="F2" s="171"/>
      <c r="G2" s="171"/>
      <c r="J2" s="165"/>
    </row>
    <row r="3" spans="1:10" ht="30">
      <c r="A3" s="170" t="s">
        <v>222</v>
      </c>
      <c r="B3" s="169" t="s">
        <v>414</v>
      </c>
      <c r="C3" s="169" t="s">
        <v>1</v>
      </c>
      <c r="D3" s="169" t="s">
        <v>2</v>
      </c>
      <c r="E3" s="168" t="s">
        <v>4</v>
      </c>
      <c r="F3" s="167" t="s">
        <v>415</v>
      </c>
      <c r="G3" s="167" t="s">
        <v>416</v>
      </c>
      <c r="H3" s="166" t="s">
        <v>559</v>
      </c>
      <c r="I3" s="166" t="s">
        <v>560</v>
      </c>
      <c r="J3" s="165"/>
    </row>
    <row r="4" spans="1:10" ht="16.5" customHeight="1" thickBot="1">
      <c r="A4" s="164" t="s">
        <v>747</v>
      </c>
      <c r="B4" s="163" t="s">
        <v>723</v>
      </c>
      <c r="C4" s="163" t="s">
        <v>746</v>
      </c>
      <c r="D4" s="162" t="s">
        <v>725</v>
      </c>
      <c r="E4" s="161">
        <v>1</v>
      </c>
      <c r="F4" s="160">
        <v>45000</v>
      </c>
      <c r="G4" s="160">
        <v>1620</v>
      </c>
      <c r="H4" s="159">
        <f t="shared" ref="H4:I7" si="0">F4*0.8</f>
        <v>36000</v>
      </c>
      <c r="I4" s="159">
        <f t="shared" si="0"/>
        <v>1296</v>
      </c>
      <c r="J4" s="158"/>
    </row>
    <row r="5" spans="1:10" ht="16.5" customHeight="1" thickBot="1">
      <c r="A5" s="164" t="s">
        <v>729</v>
      </c>
      <c r="B5" s="163" t="s">
        <v>723</v>
      </c>
      <c r="C5" s="163" t="s">
        <v>727</v>
      </c>
      <c r="D5" s="162" t="s">
        <v>725</v>
      </c>
      <c r="E5" s="161">
        <v>1</v>
      </c>
      <c r="F5" s="160">
        <v>25000</v>
      </c>
      <c r="G5" s="160">
        <v>900</v>
      </c>
      <c r="H5" s="159">
        <f t="shared" si="0"/>
        <v>20000</v>
      </c>
      <c r="I5" s="159">
        <f t="shared" si="0"/>
        <v>720</v>
      </c>
      <c r="J5" s="158"/>
    </row>
    <row r="6" spans="1:10" ht="16.5" customHeight="1" thickBot="1">
      <c r="A6" s="164" t="s">
        <v>728</v>
      </c>
      <c r="B6" s="163" t="s">
        <v>723</v>
      </c>
      <c r="C6" s="163" t="s">
        <v>712</v>
      </c>
      <c r="D6" s="162" t="s">
        <v>724</v>
      </c>
      <c r="E6" s="161">
        <v>1</v>
      </c>
      <c r="F6" s="160">
        <v>30000</v>
      </c>
      <c r="G6" s="160">
        <v>1080</v>
      </c>
      <c r="H6" s="159">
        <f t="shared" si="0"/>
        <v>24000</v>
      </c>
      <c r="I6" s="159">
        <f t="shared" si="0"/>
        <v>864</v>
      </c>
      <c r="J6" s="158"/>
    </row>
    <row r="7" spans="1:10" ht="16.5" customHeight="1" thickBot="1">
      <c r="A7" s="164" t="s">
        <v>728</v>
      </c>
      <c r="B7" s="163" t="s">
        <v>723</v>
      </c>
      <c r="C7" s="163" t="s">
        <v>711</v>
      </c>
      <c r="D7" s="162" t="s">
        <v>724</v>
      </c>
      <c r="E7" s="161">
        <v>1</v>
      </c>
      <c r="F7" s="160">
        <v>17500</v>
      </c>
      <c r="G7" s="160">
        <v>630</v>
      </c>
      <c r="H7" s="159">
        <f t="shared" si="0"/>
        <v>14000</v>
      </c>
      <c r="I7" s="159">
        <f t="shared" si="0"/>
        <v>504</v>
      </c>
      <c r="J7" s="158"/>
    </row>
    <row r="8" spans="1:10" ht="16.5" customHeight="1"/>
    <row r="9" spans="1:10" ht="16.5" customHeight="1"/>
    <row r="10" spans="1:10" ht="16.5" customHeight="1"/>
    <row r="11" spans="1:10" ht="16.5" customHeight="1"/>
    <row r="12" spans="1:10" ht="16.5" customHeight="1"/>
    <row r="13" spans="1:10" ht="16.5" customHeight="1"/>
    <row r="14" spans="1:10" ht="16.5" customHeight="1"/>
    <row r="15" spans="1:10" ht="16.5" customHeight="1"/>
    <row r="16" spans="1:10"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sheetData>
  <phoneticPr fontId="57" type="noConversion"/>
  <pageMargins left="0.25" right="0.25"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E4BA-3CA4-474F-B58D-0BE35A7E24CA}">
  <sheetPr>
    <pageSetUpPr fitToPage="1"/>
  </sheetPr>
  <dimension ref="A1:K862"/>
  <sheetViews>
    <sheetView zoomScale="75" zoomScaleNormal="75" workbookViewId="0">
      <pane ySplit="3" topLeftCell="A4" activePane="bottomLeft" state="frozen"/>
      <selection pane="bottomLeft" activeCell="C3" sqref="C3"/>
    </sheetView>
  </sheetViews>
  <sheetFormatPr baseColWidth="10" defaultColWidth="11.140625" defaultRowHeight="15" customHeight="1" outlineLevelRow="1"/>
  <cols>
    <col min="1" max="1" width="11.7109375" style="124" customWidth="1"/>
    <col min="2" max="2" width="15.85546875" style="124" customWidth="1"/>
    <col min="3" max="3" width="55.140625" style="124" customWidth="1"/>
    <col min="4" max="4" width="24.28515625" style="124" bestFit="1" customWidth="1"/>
    <col min="5" max="5" width="17.7109375" style="124" customWidth="1"/>
    <col min="6" max="6" width="9.140625" style="124" customWidth="1"/>
    <col min="7" max="7" width="11.5703125" style="127" bestFit="1" customWidth="1"/>
    <col min="8" max="8" width="11.28515625" style="127" bestFit="1" customWidth="1"/>
    <col min="9" max="9" width="12.85546875" style="128" customWidth="1"/>
    <col min="10" max="10" width="12.7109375" style="128" customWidth="1"/>
    <col min="11" max="11" width="11.42578125" style="124" customWidth="1"/>
    <col min="12" max="26" width="6.85546875" style="124" customWidth="1"/>
    <col min="27" max="16384" width="11.140625" style="124"/>
  </cols>
  <sheetData>
    <row r="1" spans="1:11" customFormat="1" ht="23.25" customHeight="1">
      <c r="A1" s="181" t="s">
        <v>707</v>
      </c>
      <c r="B1" s="181"/>
      <c r="C1" s="181"/>
      <c r="D1" s="181"/>
      <c r="E1" s="181"/>
      <c r="F1" s="181"/>
      <c r="G1" s="181"/>
      <c r="H1" s="181"/>
    </row>
    <row r="2" spans="1:11" ht="53.25" customHeight="1">
      <c r="A2" s="180" t="s">
        <v>561</v>
      </c>
      <c r="B2" s="180"/>
      <c r="C2" s="180"/>
      <c r="D2" s="180"/>
      <c r="E2" s="180"/>
      <c r="F2" s="180"/>
      <c r="G2" s="180"/>
      <c r="H2" s="180"/>
      <c r="I2" s="180"/>
      <c r="J2" s="125"/>
    </row>
    <row r="3" spans="1:11" ht="24">
      <c r="A3" s="126" t="s">
        <v>412</v>
      </c>
      <c r="B3" s="126"/>
    </row>
    <row r="4" spans="1:11" ht="38" thickBot="1">
      <c r="A4" s="121" t="s">
        <v>562</v>
      </c>
      <c r="B4" s="129"/>
    </row>
    <row r="5" spans="1:11" ht="30" outlineLevel="1">
      <c r="A5" s="130" t="s">
        <v>222</v>
      </c>
      <c r="B5" s="131" t="s">
        <v>0</v>
      </c>
      <c r="C5" s="131" t="s">
        <v>1</v>
      </c>
      <c r="D5" s="131" t="s">
        <v>2</v>
      </c>
      <c r="E5" s="130" t="s">
        <v>3</v>
      </c>
      <c r="F5" s="130" t="s">
        <v>4</v>
      </c>
      <c r="G5" s="123" t="s">
        <v>415</v>
      </c>
      <c r="H5" s="123" t="s">
        <v>416</v>
      </c>
      <c r="I5" s="107" t="s">
        <v>559</v>
      </c>
      <c r="J5" s="107" t="s">
        <v>560</v>
      </c>
    </row>
    <row r="6" spans="1:11" ht="16.5" customHeight="1" outlineLevel="1" thickBot="1">
      <c r="A6" s="133" t="s">
        <v>564</v>
      </c>
      <c r="B6" s="134" t="s">
        <v>65</v>
      </c>
      <c r="C6" s="134" t="s">
        <v>66</v>
      </c>
      <c r="D6" s="135" t="s">
        <v>7</v>
      </c>
      <c r="E6" s="136" t="s">
        <v>8</v>
      </c>
      <c r="F6" s="137">
        <v>1</v>
      </c>
      <c r="G6" s="138">
        <f>'AI-Stack Commercial Perpetual'!G4*0.8</f>
        <v>240000</v>
      </c>
      <c r="H6" s="138">
        <f>'AI-Stack Commercial Perpetual'!H4*0.8</f>
        <v>8640</v>
      </c>
      <c r="I6" s="139">
        <f t="shared" ref="I6:I15" si="0">G6*0.5</f>
        <v>120000</v>
      </c>
      <c r="J6" s="139">
        <f t="shared" ref="J6:J15" si="1">H6*0.5</f>
        <v>4320</v>
      </c>
      <c r="K6" s="140"/>
    </row>
    <row r="7" spans="1:11" ht="16.5" customHeight="1" outlineLevel="1" thickBot="1">
      <c r="A7" s="133" t="s">
        <v>565</v>
      </c>
      <c r="B7" s="134" t="s">
        <v>65</v>
      </c>
      <c r="C7" s="134" t="s">
        <v>250</v>
      </c>
      <c r="D7" s="135" t="s">
        <v>7</v>
      </c>
      <c r="E7" s="136" t="s">
        <v>8</v>
      </c>
      <c r="F7" s="137">
        <v>1</v>
      </c>
      <c r="G7" s="138">
        <f>G6*8*0.8</f>
        <v>1536000</v>
      </c>
      <c r="H7" s="138">
        <f>H6*8*0.8</f>
        <v>55296</v>
      </c>
      <c r="I7" s="139">
        <f t="shared" si="0"/>
        <v>768000</v>
      </c>
      <c r="J7" s="139">
        <f t="shared" si="1"/>
        <v>27648</v>
      </c>
      <c r="K7" s="140"/>
    </row>
    <row r="8" spans="1:11" ht="16.5" customHeight="1" outlineLevel="1" thickBot="1">
      <c r="A8" s="133" t="s">
        <v>566</v>
      </c>
      <c r="B8" s="134" t="s">
        <v>65</v>
      </c>
      <c r="C8" s="134" t="s">
        <v>289</v>
      </c>
      <c r="D8" s="135" t="s">
        <v>7</v>
      </c>
      <c r="E8" s="136" t="s">
        <v>8</v>
      </c>
      <c r="F8" s="137">
        <v>1</v>
      </c>
      <c r="G8" s="138">
        <f>G6*1.2</f>
        <v>288000</v>
      </c>
      <c r="H8" s="138">
        <f>H6*1.2</f>
        <v>10368</v>
      </c>
      <c r="I8" s="139">
        <f t="shared" si="0"/>
        <v>144000</v>
      </c>
      <c r="J8" s="139">
        <f t="shared" si="1"/>
        <v>5184</v>
      </c>
      <c r="K8" s="140"/>
    </row>
    <row r="9" spans="1:11" ht="16.5" customHeight="1" outlineLevel="1" thickBot="1">
      <c r="A9" s="133" t="s">
        <v>567</v>
      </c>
      <c r="B9" s="134" t="s">
        <v>65</v>
      </c>
      <c r="C9" s="134" t="s">
        <v>290</v>
      </c>
      <c r="D9" s="135" t="s">
        <v>7</v>
      </c>
      <c r="E9" s="136" t="s">
        <v>8</v>
      </c>
      <c r="F9" s="137">
        <v>1</v>
      </c>
      <c r="G9" s="138">
        <f>G8*8*0.8</f>
        <v>1843200</v>
      </c>
      <c r="H9" s="138">
        <f>H8*8*0.8</f>
        <v>66355.199999999997</v>
      </c>
      <c r="I9" s="139">
        <f t="shared" si="0"/>
        <v>921600</v>
      </c>
      <c r="J9" s="139">
        <f t="shared" si="1"/>
        <v>33177.599999999999</v>
      </c>
      <c r="K9" s="140"/>
    </row>
    <row r="10" spans="1:11" ht="16.5" customHeight="1" outlineLevel="1" thickBot="1">
      <c r="A10" s="133" t="s">
        <v>568</v>
      </c>
      <c r="B10" s="134" t="s">
        <v>65</v>
      </c>
      <c r="C10" s="134" t="s">
        <v>291</v>
      </c>
      <c r="D10" s="135" t="s">
        <v>7</v>
      </c>
      <c r="E10" s="136" t="s">
        <v>8</v>
      </c>
      <c r="F10" s="137">
        <v>1</v>
      </c>
      <c r="G10" s="138">
        <f>G6*1.4</f>
        <v>336000</v>
      </c>
      <c r="H10" s="138">
        <f>H6*1.4</f>
        <v>12096</v>
      </c>
      <c r="I10" s="139">
        <f t="shared" si="0"/>
        <v>168000</v>
      </c>
      <c r="J10" s="139">
        <f t="shared" si="1"/>
        <v>6048</v>
      </c>
      <c r="K10" s="140"/>
    </row>
    <row r="11" spans="1:11" ht="16.5" customHeight="1" outlineLevel="1" thickBot="1">
      <c r="A11" s="133" t="s">
        <v>569</v>
      </c>
      <c r="B11" s="134" t="s">
        <v>65</v>
      </c>
      <c r="C11" s="134" t="s">
        <v>292</v>
      </c>
      <c r="D11" s="135" t="s">
        <v>7</v>
      </c>
      <c r="E11" s="136" t="s">
        <v>8</v>
      </c>
      <c r="F11" s="137">
        <v>1</v>
      </c>
      <c r="G11" s="138">
        <f>G10*8*0.8</f>
        <v>2150400</v>
      </c>
      <c r="H11" s="138">
        <f>H10*8*0.8</f>
        <v>77414.400000000009</v>
      </c>
      <c r="I11" s="139">
        <f t="shared" si="0"/>
        <v>1075200</v>
      </c>
      <c r="J11" s="139">
        <f t="shared" si="1"/>
        <v>38707.200000000004</v>
      </c>
      <c r="K11" s="140"/>
    </row>
    <row r="12" spans="1:11" ht="16.5" customHeight="1" outlineLevel="1" thickBot="1">
      <c r="A12" s="133" t="s">
        <v>570</v>
      </c>
      <c r="B12" s="134" t="s">
        <v>65</v>
      </c>
      <c r="C12" s="134" t="s">
        <v>67</v>
      </c>
      <c r="D12" s="135" t="s">
        <v>11</v>
      </c>
      <c r="E12" s="136" t="s">
        <v>12</v>
      </c>
      <c r="F12" s="137">
        <v>1</v>
      </c>
      <c r="G12" s="138">
        <f>G6*0.2</f>
        <v>48000</v>
      </c>
      <c r="H12" s="138">
        <f>H6*0.2</f>
        <v>1728</v>
      </c>
      <c r="I12" s="139">
        <f t="shared" si="0"/>
        <v>24000</v>
      </c>
      <c r="J12" s="139">
        <f t="shared" si="1"/>
        <v>864</v>
      </c>
    </row>
    <row r="13" spans="1:11" ht="16.5" customHeight="1" outlineLevel="1" thickBot="1">
      <c r="A13" s="133" t="s">
        <v>571</v>
      </c>
      <c r="B13" s="134" t="s">
        <v>65</v>
      </c>
      <c r="C13" s="134" t="s">
        <v>252</v>
      </c>
      <c r="D13" s="135" t="s">
        <v>11</v>
      </c>
      <c r="E13" s="136" t="s">
        <v>12</v>
      </c>
      <c r="F13" s="137">
        <v>1</v>
      </c>
      <c r="G13" s="138">
        <f>G12*8*0.8</f>
        <v>307200</v>
      </c>
      <c r="H13" s="138">
        <f>H12*8*0.8</f>
        <v>11059.2</v>
      </c>
      <c r="I13" s="139">
        <f t="shared" si="0"/>
        <v>153600</v>
      </c>
      <c r="J13" s="139">
        <f t="shared" si="1"/>
        <v>5529.6</v>
      </c>
    </row>
    <row r="14" spans="1:11" ht="16.5" customHeight="1" outlineLevel="1" thickBot="1">
      <c r="A14" s="133" t="s">
        <v>572</v>
      </c>
      <c r="B14" s="134" t="s">
        <v>65</v>
      </c>
      <c r="C14" s="134" t="s">
        <v>68</v>
      </c>
      <c r="D14" s="135" t="s">
        <v>14</v>
      </c>
      <c r="E14" s="137" t="s">
        <v>15</v>
      </c>
      <c r="F14" s="137">
        <v>1</v>
      </c>
      <c r="G14" s="138">
        <f>(G6-G41)*1.3</f>
        <v>104000</v>
      </c>
      <c r="H14" s="138">
        <f>(H6-H41)*1.3</f>
        <v>3744</v>
      </c>
      <c r="I14" s="139">
        <f t="shared" si="0"/>
        <v>52000</v>
      </c>
      <c r="J14" s="139">
        <f t="shared" si="1"/>
        <v>1872</v>
      </c>
    </row>
    <row r="15" spans="1:11" ht="16.5" customHeight="1" outlineLevel="1" thickBot="1">
      <c r="A15" s="133" t="s">
        <v>573</v>
      </c>
      <c r="B15" s="134" t="s">
        <v>65</v>
      </c>
      <c r="C15" s="134" t="s">
        <v>251</v>
      </c>
      <c r="D15" s="135" t="s">
        <v>14</v>
      </c>
      <c r="E15" s="137" t="s">
        <v>15</v>
      </c>
      <c r="F15" s="137">
        <v>1</v>
      </c>
      <c r="G15" s="138">
        <f>G14*8*0.8</f>
        <v>665600</v>
      </c>
      <c r="H15" s="138">
        <f>H14*8*0.8</f>
        <v>23961.600000000002</v>
      </c>
      <c r="I15" s="139">
        <f t="shared" si="0"/>
        <v>332800</v>
      </c>
      <c r="J15" s="139">
        <f t="shared" si="1"/>
        <v>11980.800000000001</v>
      </c>
    </row>
    <row r="16" spans="1:11" ht="16.5" customHeight="1" outlineLevel="1" thickBot="1">
      <c r="A16" s="133"/>
      <c r="B16" s="134"/>
      <c r="C16" s="134"/>
      <c r="D16" s="135"/>
      <c r="E16" s="137"/>
      <c r="F16" s="137"/>
      <c r="G16" s="138"/>
      <c r="H16" s="138"/>
      <c r="I16" s="139"/>
      <c r="J16" s="139"/>
    </row>
    <row r="17" spans="1:10" ht="16.5" customHeight="1" outlineLevel="1" thickBot="1">
      <c r="A17" s="133" t="s">
        <v>574</v>
      </c>
      <c r="B17" s="134" t="s">
        <v>65</v>
      </c>
      <c r="C17" s="134" t="s">
        <v>69</v>
      </c>
      <c r="D17" s="135" t="s">
        <v>7</v>
      </c>
      <c r="E17" s="136" t="s">
        <v>8</v>
      </c>
      <c r="F17" s="137">
        <v>1</v>
      </c>
      <c r="G17" s="138">
        <f>G6/2</f>
        <v>120000</v>
      </c>
      <c r="H17" s="138">
        <f>H6/2</f>
        <v>4320</v>
      </c>
      <c r="I17" s="139">
        <f t="shared" ref="I17:I26" si="2">G17*0.5</f>
        <v>60000</v>
      </c>
      <c r="J17" s="139">
        <f t="shared" ref="J17:J26" si="3">H17*0.5</f>
        <v>2160</v>
      </c>
    </row>
    <row r="18" spans="1:10" ht="16.5" customHeight="1" outlineLevel="1" thickBot="1">
      <c r="A18" s="133" t="s">
        <v>575</v>
      </c>
      <c r="B18" s="134" t="s">
        <v>65</v>
      </c>
      <c r="C18" s="134" t="s">
        <v>255</v>
      </c>
      <c r="D18" s="135" t="s">
        <v>7</v>
      </c>
      <c r="E18" s="136" t="s">
        <v>8</v>
      </c>
      <c r="F18" s="137">
        <v>1</v>
      </c>
      <c r="G18" s="138">
        <f>G17*8*0.8</f>
        <v>768000</v>
      </c>
      <c r="H18" s="138">
        <f>H17*8*0.8</f>
        <v>27648</v>
      </c>
      <c r="I18" s="139">
        <f t="shared" si="2"/>
        <v>384000</v>
      </c>
      <c r="J18" s="139">
        <f t="shared" si="3"/>
        <v>13824</v>
      </c>
    </row>
    <row r="19" spans="1:10" ht="16.5" customHeight="1" outlineLevel="1" thickBot="1">
      <c r="A19" s="133" t="s">
        <v>576</v>
      </c>
      <c r="B19" s="134" t="s">
        <v>65</v>
      </c>
      <c r="C19" s="134" t="s">
        <v>293</v>
      </c>
      <c r="D19" s="135" t="s">
        <v>7</v>
      </c>
      <c r="E19" s="136" t="s">
        <v>8</v>
      </c>
      <c r="F19" s="137">
        <v>1</v>
      </c>
      <c r="G19" s="138">
        <f>G17*1.2</f>
        <v>144000</v>
      </c>
      <c r="H19" s="138">
        <f>H17*1.2</f>
        <v>5184</v>
      </c>
      <c r="I19" s="139">
        <f t="shared" si="2"/>
        <v>72000</v>
      </c>
      <c r="J19" s="139">
        <f t="shared" si="3"/>
        <v>2592</v>
      </c>
    </row>
    <row r="20" spans="1:10" ht="16.5" customHeight="1" outlineLevel="1" thickBot="1">
      <c r="A20" s="133" t="s">
        <v>577</v>
      </c>
      <c r="B20" s="134" t="s">
        <v>65</v>
      </c>
      <c r="C20" s="134" t="s">
        <v>294</v>
      </c>
      <c r="D20" s="135" t="s">
        <v>7</v>
      </c>
      <c r="E20" s="136" t="s">
        <v>8</v>
      </c>
      <c r="F20" s="137">
        <v>1</v>
      </c>
      <c r="G20" s="138">
        <f>G19*8*0.8</f>
        <v>921600</v>
      </c>
      <c r="H20" s="138">
        <f>H19*8*0.8</f>
        <v>33177.599999999999</v>
      </c>
      <c r="I20" s="139">
        <f t="shared" si="2"/>
        <v>460800</v>
      </c>
      <c r="J20" s="139">
        <f t="shared" si="3"/>
        <v>16588.8</v>
      </c>
    </row>
    <row r="21" spans="1:10" ht="16.5" customHeight="1" outlineLevel="1" thickBot="1">
      <c r="A21" s="133" t="s">
        <v>578</v>
      </c>
      <c r="B21" s="134" t="s">
        <v>65</v>
      </c>
      <c r="C21" s="134" t="s">
        <v>295</v>
      </c>
      <c r="D21" s="135" t="s">
        <v>7</v>
      </c>
      <c r="E21" s="136" t="s">
        <v>8</v>
      </c>
      <c r="F21" s="137">
        <v>1</v>
      </c>
      <c r="G21" s="138">
        <f>G17*1.4</f>
        <v>168000</v>
      </c>
      <c r="H21" s="138">
        <f>H17*1.4</f>
        <v>6048</v>
      </c>
      <c r="I21" s="139">
        <f t="shared" si="2"/>
        <v>84000</v>
      </c>
      <c r="J21" s="139">
        <f t="shared" si="3"/>
        <v>3024</v>
      </c>
    </row>
    <row r="22" spans="1:10" ht="16.5" customHeight="1" outlineLevel="1" thickBot="1">
      <c r="A22" s="133" t="s">
        <v>579</v>
      </c>
      <c r="B22" s="134" t="s">
        <v>65</v>
      </c>
      <c r="C22" s="134" t="s">
        <v>296</v>
      </c>
      <c r="D22" s="135" t="s">
        <v>7</v>
      </c>
      <c r="E22" s="136" t="s">
        <v>8</v>
      </c>
      <c r="F22" s="137">
        <v>1</v>
      </c>
      <c r="G22" s="138">
        <f>G21*8*0.8</f>
        <v>1075200</v>
      </c>
      <c r="H22" s="138">
        <f>H21*8*0.8</f>
        <v>38707.200000000004</v>
      </c>
      <c r="I22" s="139">
        <f t="shared" si="2"/>
        <v>537600</v>
      </c>
      <c r="J22" s="139">
        <f t="shared" si="3"/>
        <v>19353.600000000002</v>
      </c>
    </row>
    <row r="23" spans="1:10" ht="16.5" customHeight="1" outlineLevel="1" thickBot="1">
      <c r="A23" s="133" t="s">
        <v>580</v>
      </c>
      <c r="B23" s="134" t="s">
        <v>65</v>
      </c>
      <c r="C23" s="134" t="s">
        <v>70</v>
      </c>
      <c r="D23" s="135" t="s">
        <v>11</v>
      </c>
      <c r="E23" s="136" t="s">
        <v>12</v>
      </c>
      <c r="F23" s="137">
        <v>1</v>
      </c>
      <c r="G23" s="138">
        <f>G17*0.2</f>
        <v>24000</v>
      </c>
      <c r="H23" s="138">
        <f>H17*0.2</f>
        <v>864</v>
      </c>
      <c r="I23" s="139">
        <f t="shared" si="2"/>
        <v>12000</v>
      </c>
      <c r="J23" s="139">
        <f t="shared" si="3"/>
        <v>432</v>
      </c>
    </row>
    <row r="24" spans="1:10" ht="16.5" customHeight="1" outlineLevel="1" thickBot="1">
      <c r="A24" s="133" t="s">
        <v>581</v>
      </c>
      <c r="B24" s="134" t="s">
        <v>65</v>
      </c>
      <c r="C24" s="134" t="s">
        <v>253</v>
      </c>
      <c r="D24" s="135" t="s">
        <v>11</v>
      </c>
      <c r="E24" s="136" t="s">
        <v>12</v>
      </c>
      <c r="F24" s="137">
        <v>1</v>
      </c>
      <c r="G24" s="138">
        <f>G23*8*0.8</f>
        <v>153600</v>
      </c>
      <c r="H24" s="138">
        <f>H23*8*0.8</f>
        <v>5529.6</v>
      </c>
      <c r="I24" s="139">
        <f t="shared" si="2"/>
        <v>76800</v>
      </c>
      <c r="J24" s="139">
        <f t="shared" si="3"/>
        <v>2764.8</v>
      </c>
    </row>
    <row r="25" spans="1:10" ht="16.5" customHeight="1" outlineLevel="1" thickBot="1">
      <c r="A25" s="133" t="s">
        <v>582</v>
      </c>
      <c r="B25" s="134" t="s">
        <v>65</v>
      </c>
      <c r="C25" s="134" t="s">
        <v>71</v>
      </c>
      <c r="D25" s="135" t="s">
        <v>14</v>
      </c>
      <c r="E25" s="137" t="s">
        <v>15</v>
      </c>
      <c r="F25" s="137">
        <v>1</v>
      </c>
      <c r="G25" s="138">
        <f>G14/2</f>
        <v>52000</v>
      </c>
      <c r="H25" s="138">
        <f>H14/2</f>
        <v>1872</v>
      </c>
      <c r="I25" s="139">
        <f t="shared" si="2"/>
        <v>26000</v>
      </c>
      <c r="J25" s="139">
        <f t="shared" si="3"/>
        <v>936</v>
      </c>
    </row>
    <row r="26" spans="1:10" ht="16.5" customHeight="1" outlineLevel="1" thickBot="1">
      <c r="A26" s="133" t="s">
        <v>583</v>
      </c>
      <c r="B26" s="134" t="s">
        <v>65</v>
      </c>
      <c r="C26" s="134" t="s">
        <v>254</v>
      </c>
      <c r="D26" s="135" t="s">
        <v>14</v>
      </c>
      <c r="E26" s="137" t="s">
        <v>15</v>
      </c>
      <c r="F26" s="137">
        <v>1</v>
      </c>
      <c r="G26" s="138">
        <f>G25*8*0.8</f>
        <v>332800</v>
      </c>
      <c r="H26" s="138">
        <f>H25*8*0.8</f>
        <v>11980.800000000001</v>
      </c>
      <c r="I26" s="139">
        <f t="shared" si="2"/>
        <v>166400</v>
      </c>
      <c r="J26" s="139">
        <f t="shared" si="3"/>
        <v>5990.4000000000005</v>
      </c>
    </row>
    <row r="27" spans="1:10" ht="16.5" customHeight="1" outlineLevel="1" thickBot="1">
      <c r="A27" s="133"/>
      <c r="B27" s="134"/>
      <c r="C27" s="134"/>
      <c r="D27" s="135"/>
      <c r="E27" s="137"/>
      <c r="F27" s="137"/>
      <c r="G27" s="138"/>
      <c r="H27" s="138"/>
      <c r="I27" s="139"/>
      <c r="J27" s="139"/>
    </row>
    <row r="28" spans="1:10" ht="16.5" customHeight="1" outlineLevel="1" thickBot="1">
      <c r="A28" s="133" t="s">
        <v>584</v>
      </c>
      <c r="B28" s="134" t="s">
        <v>65</v>
      </c>
      <c r="C28" s="134" t="s">
        <v>72</v>
      </c>
      <c r="D28" s="135" t="s">
        <v>7</v>
      </c>
      <c r="E28" s="136" t="s">
        <v>8</v>
      </c>
      <c r="F28" s="137">
        <v>1</v>
      </c>
      <c r="G28" s="138">
        <f>G6/4</f>
        <v>60000</v>
      </c>
      <c r="H28" s="138">
        <f>H6/4</f>
        <v>2160</v>
      </c>
      <c r="I28" s="139">
        <f t="shared" ref="I28:I37" si="4">G28*0.5</f>
        <v>30000</v>
      </c>
      <c r="J28" s="139">
        <f t="shared" ref="J28:J37" si="5">H28*0.5</f>
        <v>1080</v>
      </c>
    </row>
    <row r="29" spans="1:10" ht="16.5" customHeight="1" outlineLevel="1" thickBot="1">
      <c r="A29" s="133" t="s">
        <v>585</v>
      </c>
      <c r="B29" s="134" t="s">
        <v>65</v>
      </c>
      <c r="C29" s="134" t="s">
        <v>256</v>
      </c>
      <c r="D29" s="135" t="s">
        <v>7</v>
      </c>
      <c r="E29" s="136" t="s">
        <v>8</v>
      </c>
      <c r="F29" s="137">
        <v>1</v>
      </c>
      <c r="G29" s="138">
        <f>G28*8*0.8</f>
        <v>384000</v>
      </c>
      <c r="H29" s="138">
        <f>H28*8*0.8</f>
        <v>13824</v>
      </c>
      <c r="I29" s="139">
        <f t="shared" si="4"/>
        <v>192000</v>
      </c>
      <c r="J29" s="139">
        <f t="shared" si="5"/>
        <v>6912</v>
      </c>
    </row>
    <row r="30" spans="1:10" ht="16.5" customHeight="1" outlineLevel="1" thickBot="1">
      <c r="A30" s="133" t="s">
        <v>586</v>
      </c>
      <c r="B30" s="134" t="s">
        <v>65</v>
      </c>
      <c r="C30" s="134" t="s">
        <v>297</v>
      </c>
      <c r="D30" s="135" t="s">
        <v>7</v>
      </c>
      <c r="E30" s="136" t="s">
        <v>8</v>
      </c>
      <c r="F30" s="137">
        <v>1</v>
      </c>
      <c r="G30" s="138">
        <f>G28*1.2</f>
        <v>72000</v>
      </c>
      <c r="H30" s="138">
        <f>H28*1.2</f>
        <v>2592</v>
      </c>
      <c r="I30" s="139">
        <f t="shared" si="4"/>
        <v>36000</v>
      </c>
      <c r="J30" s="139">
        <f t="shared" si="5"/>
        <v>1296</v>
      </c>
    </row>
    <row r="31" spans="1:10" ht="16.5" customHeight="1" outlineLevel="1" thickBot="1">
      <c r="A31" s="133" t="s">
        <v>587</v>
      </c>
      <c r="B31" s="134" t="s">
        <v>65</v>
      </c>
      <c r="C31" s="134" t="s">
        <v>298</v>
      </c>
      <c r="D31" s="135" t="s">
        <v>7</v>
      </c>
      <c r="E31" s="136" t="s">
        <v>8</v>
      </c>
      <c r="F31" s="137">
        <v>1</v>
      </c>
      <c r="G31" s="138">
        <f>G30*8*0.8</f>
        <v>460800</v>
      </c>
      <c r="H31" s="138">
        <f>H30*8*0.8</f>
        <v>16588.8</v>
      </c>
      <c r="I31" s="139">
        <f t="shared" si="4"/>
        <v>230400</v>
      </c>
      <c r="J31" s="139">
        <f t="shared" si="5"/>
        <v>8294.4</v>
      </c>
    </row>
    <row r="32" spans="1:10" ht="16.5" customHeight="1" outlineLevel="1" thickBot="1">
      <c r="A32" s="133" t="s">
        <v>588</v>
      </c>
      <c r="B32" s="134" t="s">
        <v>65</v>
      </c>
      <c r="C32" s="134" t="s">
        <v>299</v>
      </c>
      <c r="D32" s="135" t="s">
        <v>7</v>
      </c>
      <c r="E32" s="136" t="s">
        <v>8</v>
      </c>
      <c r="F32" s="137">
        <v>1</v>
      </c>
      <c r="G32" s="138">
        <f>G28*1.4</f>
        <v>84000</v>
      </c>
      <c r="H32" s="138">
        <f>H28*1.4</f>
        <v>3024</v>
      </c>
      <c r="I32" s="139">
        <f t="shared" si="4"/>
        <v>42000</v>
      </c>
      <c r="J32" s="139">
        <f t="shared" si="5"/>
        <v>1512</v>
      </c>
    </row>
    <row r="33" spans="1:10" ht="16.5" customHeight="1" outlineLevel="1" thickBot="1">
      <c r="A33" s="133" t="s">
        <v>589</v>
      </c>
      <c r="B33" s="134" t="s">
        <v>65</v>
      </c>
      <c r="C33" s="134" t="s">
        <v>300</v>
      </c>
      <c r="D33" s="135" t="s">
        <v>7</v>
      </c>
      <c r="E33" s="136" t="s">
        <v>8</v>
      </c>
      <c r="F33" s="137">
        <v>1</v>
      </c>
      <c r="G33" s="138">
        <f>G32*8*0.8</f>
        <v>537600</v>
      </c>
      <c r="H33" s="138">
        <f>H32*8*0.8</f>
        <v>19353.600000000002</v>
      </c>
      <c r="I33" s="139">
        <f t="shared" si="4"/>
        <v>268800</v>
      </c>
      <c r="J33" s="139">
        <f t="shared" si="5"/>
        <v>9676.8000000000011</v>
      </c>
    </row>
    <row r="34" spans="1:10" ht="16.5" customHeight="1" outlineLevel="1" thickBot="1">
      <c r="A34" s="133" t="s">
        <v>590</v>
      </c>
      <c r="B34" s="134" t="s">
        <v>65</v>
      </c>
      <c r="C34" s="134" t="s">
        <v>73</v>
      </c>
      <c r="D34" s="135" t="s">
        <v>11</v>
      </c>
      <c r="E34" s="136" t="s">
        <v>12</v>
      </c>
      <c r="F34" s="137">
        <v>1</v>
      </c>
      <c r="G34" s="138">
        <f>G28*0.2</f>
        <v>12000</v>
      </c>
      <c r="H34" s="138">
        <f>H28*0.2</f>
        <v>432</v>
      </c>
      <c r="I34" s="139">
        <f t="shared" si="4"/>
        <v>6000</v>
      </c>
      <c r="J34" s="139">
        <f t="shared" si="5"/>
        <v>216</v>
      </c>
    </row>
    <row r="35" spans="1:10" ht="16.5" customHeight="1" outlineLevel="1" thickBot="1">
      <c r="A35" s="133" t="s">
        <v>591</v>
      </c>
      <c r="B35" s="134" t="s">
        <v>65</v>
      </c>
      <c r="C35" s="134" t="s">
        <v>257</v>
      </c>
      <c r="D35" s="135" t="s">
        <v>11</v>
      </c>
      <c r="E35" s="136" t="s">
        <v>12</v>
      </c>
      <c r="F35" s="137">
        <v>1</v>
      </c>
      <c r="G35" s="138">
        <f>G34*8*0.8</f>
        <v>76800</v>
      </c>
      <c r="H35" s="138">
        <f>H34*8*0.8</f>
        <v>2764.8</v>
      </c>
      <c r="I35" s="139">
        <f t="shared" si="4"/>
        <v>38400</v>
      </c>
      <c r="J35" s="139">
        <f t="shared" si="5"/>
        <v>1382.4</v>
      </c>
    </row>
    <row r="36" spans="1:10" ht="16.5" customHeight="1" outlineLevel="1" thickBot="1">
      <c r="A36" s="133" t="s">
        <v>592</v>
      </c>
      <c r="B36" s="134" t="s">
        <v>65</v>
      </c>
      <c r="C36" s="134" t="s">
        <v>74</v>
      </c>
      <c r="D36" s="135" t="s">
        <v>14</v>
      </c>
      <c r="E36" s="137" t="s">
        <v>15</v>
      </c>
      <c r="F36" s="137">
        <v>1</v>
      </c>
      <c r="G36" s="138">
        <f>G25/2</f>
        <v>26000</v>
      </c>
      <c r="H36" s="138">
        <f>H25/2</f>
        <v>936</v>
      </c>
      <c r="I36" s="139">
        <f t="shared" si="4"/>
        <v>13000</v>
      </c>
      <c r="J36" s="139">
        <f t="shared" si="5"/>
        <v>468</v>
      </c>
    </row>
    <row r="37" spans="1:10" ht="16.5" customHeight="1" outlineLevel="1" thickBot="1">
      <c r="A37" s="133" t="s">
        <v>593</v>
      </c>
      <c r="B37" s="134" t="s">
        <v>65</v>
      </c>
      <c r="C37" s="134" t="s">
        <v>258</v>
      </c>
      <c r="D37" s="135" t="s">
        <v>14</v>
      </c>
      <c r="E37" s="137" t="s">
        <v>15</v>
      </c>
      <c r="F37" s="137">
        <v>1</v>
      </c>
      <c r="G37" s="138">
        <f>G36*8*0.8</f>
        <v>166400</v>
      </c>
      <c r="H37" s="138">
        <f>H36*8*0.8</f>
        <v>5990.4000000000005</v>
      </c>
      <c r="I37" s="139">
        <f t="shared" si="4"/>
        <v>83200</v>
      </c>
      <c r="J37" s="139">
        <f t="shared" si="5"/>
        <v>2995.2000000000003</v>
      </c>
    </row>
    <row r="38" spans="1:10" ht="16.5" customHeight="1" outlineLevel="1">
      <c r="A38" s="142"/>
      <c r="B38" s="142"/>
      <c r="C38" s="142"/>
      <c r="D38" s="143"/>
      <c r="E38" s="144"/>
      <c r="F38" s="144"/>
      <c r="G38" s="145"/>
      <c r="H38" s="145"/>
      <c r="I38" s="146"/>
      <c r="J38" s="146"/>
    </row>
    <row r="39" spans="1:10" ht="38" thickBot="1">
      <c r="A39" s="121" t="s">
        <v>563</v>
      </c>
      <c r="B39" s="129"/>
    </row>
    <row r="40" spans="1:10" ht="30" outlineLevel="1">
      <c r="A40" s="131" t="s">
        <v>222</v>
      </c>
      <c r="B40" s="131" t="s">
        <v>0</v>
      </c>
      <c r="C40" s="131" t="s">
        <v>1</v>
      </c>
      <c r="D40" s="131" t="s">
        <v>2</v>
      </c>
      <c r="E40" s="130" t="s">
        <v>3</v>
      </c>
      <c r="F40" s="130" t="s">
        <v>4</v>
      </c>
      <c r="G40" s="123" t="s">
        <v>415</v>
      </c>
      <c r="H40" s="123" t="s">
        <v>416</v>
      </c>
      <c r="I40" s="107" t="s">
        <v>559</v>
      </c>
      <c r="J40" s="107" t="s">
        <v>560</v>
      </c>
    </row>
    <row r="41" spans="1:10" ht="16.5" customHeight="1" outlineLevel="1" thickBot="1">
      <c r="A41" s="133" t="s">
        <v>594</v>
      </c>
      <c r="B41" s="134" t="s">
        <v>75</v>
      </c>
      <c r="C41" s="134" t="s">
        <v>76</v>
      </c>
      <c r="D41" s="135" t="s">
        <v>24</v>
      </c>
      <c r="E41" s="136" t="s">
        <v>8</v>
      </c>
      <c r="F41" s="137">
        <v>1</v>
      </c>
      <c r="G41" s="138">
        <f>'AI-Stack Commercial Perpetual'!G39*0.8</f>
        <v>160000</v>
      </c>
      <c r="H41" s="138">
        <f>'AI-Stack Commercial Perpetual'!H39*0.8</f>
        <v>5760</v>
      </c>
      <c r="I41" s="139">
        <f t="shared" ref="I41:J46" si="6">G41/2</f>
        <v>80000</v>
      </c>
      <c r="J41" s="139">
        <f t="shared" si="6"/>
        <v>2880</v>
      </c>
    </row>
    <row r="42" spans="1:10" ht="16.5" customHeight="1" outlineLevel="1" thickBot="1">
      <c r="A42" s="133" t="s">
        <v>595</v>
      </c>
      <c r="B42" s="134" t="s">
        <v>75</v>
      </c>
      <c r="C42" s="134" t="s">
        <v>259</v>
      </c>
      <c r="D42" s="135" t="s">
        <v>24</v>
      </c>
      <c r="E42" s="136" t="s">
        <v>8</v>
      </c>
      <c r="F42" s="137">
        <v>1</v>
      </c>
      <c r="G42" s="138">
        <f>G41*8*0.8</f>
        <v>1024000</v>
      </c>
      <c r="H42" s="138">
        <f>H41*8*0.8</f>
        <v>36864</v>
      </c>
      <c r="I42" s="139">
        <f t="shared" si="6"/>
        <v>512000</v>
      </c>
      <c r="J42" s="139">
        <f t="shared" si="6"/>
        <v>18432</v>
      </c>
    </row>
    <row r="43" spans="1:10" ht="16.5" customHeight="1" outlineLevel="1" thickBot="1">
      <c r="A43" s="133" t="s">
        <v>596</v>
      </c>
      <c r="B43" s="134" t="s">
        <v>75</v>
      </c>
      <c r="C43" s="134" t="s">
        <v>277</v>
      </c>
      <c r="D43" s="135" t="s">
        <v>24</v>
      </c>
      <c r="E43" s="136" t="s">
        <v>8</v>
      </c>
      <c r="F43" s="137">
        <v>1</v>
      </c>
      <c r="G43" s="138">
        <f>G41*1.2</f>
        <v>192000</v>
      </c>
      <c r="H43" s="138">
        <f>H41*1.2</f>
        <v>6912</v>
      </c>
      <c r="I43" s="139">
        <f t="shared" si="6"/>
        <v>96000</v>
      </c>
      <c r="J43" s="139">
        <f t="shared" si="6"/>
        <v>3456</v>
      </c>
    </row>
    <row r="44" spans="1:10" ht="16.5" customHeight="1" outlineLevel="1" thickBot="1">
      <c r="A44" s="133" t="s">
        <v>597</v>
      </c>
      <c r="B44" s="134" t="s">
        <v>75</v>
      </c>
      <c r="C44" s="134" t="s">
        <v>278</v>
      </c>
      <c r="D44" s="135" t="s">
        <v>24</v>
      </c>
      <c r="E44" s="136" t="s">
        <v>8</v>
      </c>
      <c r="F44" s="137">
        <v>1</v>
      </c>
      <c r="G44" s="138">
        <f>G43*8*0.8</f>
        <v>1228800</v>
      </c>
      <c r="H44" s="138">
        <f>H43*8*0.8</f>
        <v>44236.800000000003</v>
      </c>
      <c r="I44" s="139">
        <f t="shared" si="6"/>
        <v>614400</v>
      </c>
      <c r="J44" s="139">
        <f t="shared" si="6"/>
        <v>22118.400000000001</v>
      </c>
    </row>
    <row r="45" spans="1:10" ht="16.5" customHeight="1" outlineLevel="1" thickBot="1">
      <c r="A45" s="133" t="s">
        <v>598</v>
      </c>
      <c r="B45" s="134" t="s">
        <v>75</v>
      </c>
      <c r="C45" s="134" t="s">
        <v>279</v>
      </c>
      <c r="D45" s="135" t="s">
        <v>24</v>
      </c>
      <c r="E45" s="136" t="s">
        <v>8</v>
      </c>
      <c r="F45" s="137">
        <v>1</v>
      </c>
      <c r="G45" s="138">
        <f>G41*1.4</f>
        <v>224000</v>
      </c>
      <c r="H45" s="138">
        <f>H41*1.4</f>
        <v>8063.9999999999991</v>
      </c>
      <c r="I45" s="139">
        <f t="shared" si="6"/>
        <v>112000</v>
      </c>
      <c r="J45" s="139">
        <f t="shared" si="6"/>
        <v>4031.9999999999995</v>
      </c>
    </row>
    <row r="46" spans="1:10" ht="16.5" customHeight="1" outlineLevel="1" thickBot="1">
      <c r="A46" s="133" t="s">
        <v>599</v>
      </c>
      <c r="B46" s="134" t="s">
        <v>75</v>
      </c>
      <c r="C46" s="134" t="s">
        <v>280</v>
      </c>
      <c r="D46" s="135" t="s">
        <v>24</v>
      </c>
      <c r="E46" s="136" t="s">
        <v>8</v>
      </c>
      <c r="F46" s="137">
        <v>1</v>
      </c>
      <c r="G46" s="138">
        <f>G45*8*0.8</f>
        <v>1433600</v>
      </c>
      <c r="H46" s="138">
        <f>H45*8*0.8</f>
        <v>51609.599999999999</v>
      </c>
      <c r="I46" s="139">
        <f t="shared" si="6"/>
        <v>716800</v>
      </c>
      <c r="J46" s="139">
        <f t="shared" si="6"/>
        <v>25804.799999999999</v>
      </c>
    </row>
    <row r="47" spans="1:10" ht="16.5" customHeight="1" outlineLevel="1" thickBot="1">
      <c r="A47" s="133" t="s">
        <v>600</v>
      </c>
      <c r="B47" s="134" t="s">
        <v>75</v>
      </c>
      <c r="C47" s="134" t="s">
        <v>77</v>
      </c>
      <c r="D47" s="135" t="s">
        <v>26</v>
      </c>
      <c r="E47" s="136" t="s">
        <v>12</v>
      </c>
      <c r="F47" s="137">
        <v>1</v>
      </c>
      <c r="G47" s="138">
        <f>G41*0.2</f>
        <v>32000</v>
      </c>
      <c r="H47" s="138">
        <f>H41*0.2</f>
        <v>1152</v>
      </c>
      <c r="I47" s="139">
        <f t="shared" ref="I47:J65" si="7">G47/2</f>
        <v>16000</v>
      </c>
      <c r="J47" s="139">
        <f t="shared" si="7"/>
        <v>576</v>
      </c>
    </row>
    <row r="48" spans="1:10" ht="16.5" customHeight="1" outlineLevel="1" thickBot="1">
      <c r="A48" s="133" t="s">
        <v>601</v>
      </c>
      <c r="B48" s="134" t="s">
        <v>75</v>
      </c>
      <c r="C48" s="134" t="s">
        <v>260</v>
      </c>
      <c r="D48" s="135" t="s">
        <v>26</v>
      </c>
      <c r="E48" s="136" t="s">
        <v>12</v>
      </c>
      <c r="F48" s="137">
        <v>1</v>
      </c>
      <c r="G48" s="138">
        <f>G47*8*0.8</f>
        <v>204800</v>
      </c>
      <c r="H48" s="138">
        <f>H47*8*0.8</f>
        <v>7372.8</v>
      </c>
      <c r="I48" s="139">
        <f t="shared" ref="I48:J48" si="8">G48/2</f>
        <v>102400</v>
      </c>
      <c r="J48" s="139">
        <f t="shared" si="8"/>
        <v>3686.4</v>
      </c>
    </row>
    <row r="49" spans="1:10" ht="16.5" customHeight="1" outlineLevel="1" thickBot="1">
      <c r="A49" s="133"/>
      <c r="B49" s="134"/>
      <c r="C49" s="134"/>
      <c r="D49" s="135"/>
      <c r="E49" s="137"/>
      <c r="F49" s="137"/>
      <c r="G49" s="138"/>
      <c r="H49" s="138"/>
      <c r="I49" s="139"/>
      <c r="J49" s="139"/>
    </row>
    <row r="50" spans="1:10" ht="16.5" customHeight="1" outlineLevel="1" thickBot="1">
      <c r="A50" s="133" t="s">
        <v>602</v>
      </c>
      <c r="B50" s="134" t="s">
        <v>75</v>
      </c>
      <c r="C50" s="134" t="s">
        <v>220</v>
      </c>
      <c r="D50" s="135" t="s">
        <v>24</v>
      </c>
      <c r="E50" s="136" t="s">
        <v>8</v>
      </c>
      <c r="F50" s="137">
        <v>1</v>
      </c>
      <c r="G50" s="138">
        <f>G41/2</f>
        <v>80000</v>
      </c>
      <c r="H50" s="138">
        <f>H41/2</f>
        <v>2880</v>
      </c>
      <c r="I50" s="139">
        <f t="shared" si="7"/>
        <v>40000</v>
      </c>
      <c r="J50" s="139">
        <f t="shared" si="7"/>
        <v>1440</v>
      </c>
    </row>
    <row r="51" spans="1:10" ht="16.5" customHeight="1" outlineLevel="1" thickBot="1">
      <c r="A51" s="133" t="s">
        <v>603</v>
      </c>
      <c r="B51" s="134" t="s">
        <v>75</v>
      </c>
      <c r="C51" s="134" t="s">
        <v>261</v>
      </c>
      <c r="D51" s="135" t="s">
        <v>24</v>
      </c>
      <c r="E51" s="136" t="s">
        <v>8</v>
      </c>
      <c r="F51" s="137">
        <v>1</v>
      </c>
      <c r="G51" s="138">
        <f>G50*8*0.8</f>
        <v>512000</v>
      </c>
      <c r="H51" s="138">
        <f>H50*8*0.8</f>
        <v>18432</v>
      </c>
      <c r="I51" s="139">
        <f t="shared" ref="I51:J51" si="9">G51/2</f>
        <v>256000</v>
      </c>
      <c r="J51" s="139">
        <f t="shared" si="9"/>
        <v>9216</v>
      </c>
    </row>
    <row r="52" spans="1:10" ht="16.5" customHeight="1" outlineLevel="1" thickBot="1">
      <c r="A52" s="133" t="s">
        <v>604</v>
      </c>
      <c r="B52" s="134" t="s">
        <v>75</v>
      </c>
      <c r="C52" s="134" t="s">
        <v>281</v>
      </c>
      <c r="D52" s="135" t="s">
        <v>24</v>
      </c>
      <c r="E52" s="136" t="s">
        <v>8</v>
      </c>
      <c r="F52" s="137">
        <v>1</v>
      </c>
      <c r="G52" s="138">
        <f>G50*1.2</f>
        <v>96000</v>
      </c>
      <c r="H52" s="138">
        <f>H50*1.2</f>
        <v>3456</v>
      </c>
      <c r="I52" s="139">
        <f t="shared" ref="I52:J52" si="10">G52/2</f>
        <v>48000</v>
      </c>
      <c r="J52" s="139">
        <f t="shared" si="10"/>
        <v>1728</v>
      </c>
    </row>
    <row r="53" spans="1:10" ht="16.5" customHeight="1" outlineLevel="1" thickBot="1">
      <c r="A53" s="133" t="s">
        <v>605</v>
      </c>
      <c r="B53" s="134" t="s">
        <v>75</v>
      </c>
      <c r="C53" s="134" t="s">
        <v>282</v>
      </c>
      <c r="D53" s="135" t="s">
        <v>24</v>
      </c>
      <c r="E53" s="136" t="s">
        <v>8</v>
      </c>
      <c r="F53" s="137">
        <v>1</v>
      </c>
      <c r="G53" s="138">
        <f>G52*8*0.8</f>
        <v>614400</v>
      </c>
      <c r="H53" s="138">
        <f>H52*8*0.8</f>
        <v>22118.400000000001</v>
      </c>
      <c r="I53" s="139">
        <f t="shared" ref="I53:J53" si="11">G53/2</f>
        <v>307200</v>
      </c>
      <c r="J53" s="139">
        <f t="shared" si="11"/>
        <v>11059.2</v>
      </c>
    </row>
    <row r="54" spans="1:10" ht="16.5" customHeight="1" outlineLevel="1" thickBot="1">
      <c r="A54" s="133" t="s">
        <v>606</v>
      </c>
      <c r="B54" s="134" t="s">
        <v>75</v>
      </c>
      <c r="C54" s="134" t="s">
        <v>283</v>
      </c>
      <c r="D54" s="135" t="s">
        <v>24</v>
      </c>
      <c r="E54" s="136" t="s">
        <v>8</v>
      </c>
      <c r="F54" s="137">
        <v>1</v>
      </c>
      <c r="G54" s="138">
        <f>G50*1.4</f>
        <v>112000</v>
      </c>
      <c r="H54" s="138">
        <f>H50*1.4</f>
        <v>4031.9999999999995</v>
      </c>
      <c r="I54" s="139">
        <f t="shared" ref="I54:J54" si="12">G54/2</f>
        <v>56000</v>
      </c>
      <c r="J54" s="139">
        <f t="shared" si="12"/>
        <v>2015.9999999999998</v>
      </c>
    </row>
    <row r="55" spans="1:10" ht="16.5" customHeight="1" outlineLevel="1" thickBot="1">
      <c r="A55" s="133" t="s">
        <v>607</v>
      </c>
      <c r="B55" s="134" t="s">
        <v>75</v>
      </c>
      <c r="C55" s="134" t="s">
        <v>284</v>
      </c>
      <c r="D55" s="135" t="s">
        <v>24</v>
      </c>
      <c r="E55" s="136" t="s">
        <v>8</v>
      </c>
      <c r="F55" s="137">
        <v>1</v>
      </c>
      <c r="G55" s="138">
        <f>G54*8*0.8</f>
        <v>716800</v>
      </c>
      <c r="H55" s="138">
        <f>H54*8*0.8</f>
        <v>25804.799999999999</v>
      </c>
      <c r="I55" s="139">
        <f t="shared" ref="I55:J55" si="13">G55/2</f>
        <v>358400</v>
      </c>
      <c r="J55" s="139">
        <f t="shared" si="13"/>
        <v>12902.4</v>
      </c>
    </row>
    <row r="56" spans="1:10" ht="16.5" customHeight="1" outlineLevel="1" thickBot="1">
      <c r="A56" s="133" t="s">
        <v>608</v>
      </c>
      <c r="B56" s="134" t="s">
        <v>75</v>
      </c>
      <c r="C56" s="134" t="s">
        <v>221</v>
      </c>
      <c r="D56" s="135" t="s">
        <v>26</v>
      </c>
      <c r="E56" s="136" t="s">
        <v>12</v>
      </c>
      <c r="F56" s="137">
        <v>1</v>
      </c>
      <c r="G56" s="138">
        <f>G50*0.2</f>
        <v>16000</v>
      </c>
      <c r="H56" s="138">
        <f>H50*0.2</f>
        <v>576</v>
      </c>
      <c r="I56" s="139">
        <f t="shared" si="7"/>
        <v>8000</v>
      </c>
      <c r="J56" s="139">
        <f t="shared" si="7"/>
        <v>288</v>
      </c>
    </row>
    <row r="57" spans="1:10" ht="16.5" customHeight="1" outlineLevel="1" thickBot="1">
      <c r="A57" s="133" t="s">
        <v>609</v>
      </c>
      <c r="B57" s="134" t="s">
        <v>75</v>
      </c>
      <c r="C57" s="134" t="s">
        <v>262</v>
      </c>
      <c r="D57" s="135" t="s">
        <v>26</v>
      </c>
      <c r="E57" s="136" t="s">
        <v>12</v>
      </c>
      <c r="F57" s="137">
        <v>1</v>
      </c>
      <c r="G57" s="138">
        <f>G56*8*0.8</f>
        <v>102400</v>
      </c>
      <c r="H57" s="138">
        <f>H56*8*0.8</f>
        <v>3686.4</v>
      </c>
      <c r="I57" s="139">
        <f t="shared" ref="I57:J57" si="14">G57/2</f>
        <v>51200</v>
      </c>
      <c r="J57" s="139">
        <f t="shared" si="14"/>
        <v>1843.2</v>
      </c>
    </row>
    <row r="58" spans="1:10" ht="16.5" customHeight="1" outlineLevel="1" thickBot="1">
      <c r="A58" s="133"/>
      <c r="B58" s="134"/>
      <c r="C58" s="134"/>
      <c r="D58" s="135"/>
      <c r="E58" s="137"/>
      <c r="F58" s="137"/>
      <c r="G58" s="138"/>
      <c r="H58" s="138"/>
      <c r="I58" s="139"/>
      <c r="J58" s="139"/>
    </row>
    <row r="59" spans="1:10" ht="16.5" customHeight="1" outlineLevel="1" thickBot="1">
      <c r="A59" s="133" t="s">
        <v>610</v>
      </c>
      <c r="B59" s="134" t="s">
        <v>75</v>
      </c>
      <c r="C59" s="134" t="s">
        <v>78</v>
      </c>
      <c r="D59" s="135" t="s">
        <v>24</v>
      </c>
      <c r="E59" s="136" t="s">
        <v>8</v>
      </c>
      <c r="F59" s="137">
        <v>1</v>
      </c>
      <c r="G59" s="138">
        <f>G41/4</f>
        <v>40000</v>
      </c>
      <c r="H59" s="138">
        <f>H41/4</f>
        <v>1440</v>
      </c>
      <c r="I59" s="139">
        <f t="shared" si="7"/>
        <v>20000</v>
      </c>
      <c r="J59" s="139">
        <f t="shared" si="7"/>
        <v>720</v>
      </c>
    </row>
    <row r="60" spans="1:10" ht="16.5" customHeight="1" outlineLevel="1" thickBot="1">
      <c r="A60" s="133" t="s">
        <v>611</v>
      </c>
      <c r="B60" s="134" t="s">
        <v>75</v>
      </c>
      <c r="C60" s="134" t="s">
        <v>263</v>
      </c>
      <c r="D60" s="135" t="s">
        <v>24</v>
      </c>
      <c r="E60" s="136" t="s">
        <v>8</v>
      </c>
      <c r="F60" s="137">
        <v>1</v>
      </c>
      <c r="G60" s="138">
        <f>G59*8*0.8</f>
        <v>256000</v>
      </c>
      <c r="H60" s="138">
        <f>H59*8*0.8</f>
        <v>9216</v>
      </c>
      <c r="I60" s="139">
        <f t="shared" ref="I60:J60" si="15">G60/2</f>
        <v>128000</v>
      </c>
      <c r="J60" s="139">
        <f t="shared" si="15"/>
        <v>4608</v>
      </c>
    </row>
    <row r="61" spans="1:10" ht="16.5" customHeight="1" outlineLevel="1" thickBot="1">
      <c r="A61" s="133" t="s">
        <v>612</v>
      </c>
      <c r="B61" s="134" t="s">
        <v>75</v>
      </c>
      <c r="C61" s="134" t="s">
        <v>285</v>
      </c>
      <c r="D61" s="135" t="s">
        <v>24</v>
      </c>
      <c r="E61" s="136" t="s">
        <v>8</v>
      </c>
      <c r="F61" s="137">
        <v>1</v>
      </c>
      <c r="G61" s="138">
        <f>G59*1.2</f>
        <v>48000</v>
      </c>
      <c r="H61" s="138">
        <f>H59*1.2</f>
        <v>1728</v>
      </c>
      <c r="I61" s="139">
        <f t="shared" ref="I61:J61" si="16">G61/2</f>
        <v>24000</v>
      </c>
      <c r="J61" s="139">
        <f t="shared" si="16"/>
        <v>864</v>
      </c>
    </row>
    <row r="62" spans="1:10" ht="16.5" customHeight="1" outlineLevel="1" thickBot="1">
      <c r="A62" s="133" t="s">
        <v>613</v>
      </c>
      <c r="B62" s="134" t="s">
        <v>75</v>
      </c>
      <c r="C62" s="134" t="s">
        <v>286</v>
      </c>
      <c r="D62" s="135" t="s">
        <v>24</v>
      </c>
      <c r="E62" s="136" t="s">
        <v>8</v>
      </c>
      <c r="F62" s="137">
        <v>1</v>
      </c>
      <c r="G62" s="138">
        <f>G61*8*0.8</f>
        <v>307200</v>
      </c>
      <c r="H62" s="138">
        <f>H61*8*0.8</f>
        <v>11059.2</v>
      </c>
      <c r="I62" s="139">
        <f t="shared" ref="I62:J62" si="17">G62/2</f>
        <v>153600</v>
      </c>
      <c r="J62" s="139">
        <f t="shared" si="17"/>
        <v>5529.6</v>
      </c>
    </row>
    <row r="63" spans="1:10" ht="16.5" customHeight="1" outlineLevel="1" thickBot="1">
      <c r="A63" s="133" t="s">
        <v>614</v>
      </c>
      <c r="B63" s="134" t="s">
        <v>75</v>
      </c>
      <c r="C63" s="134" t="s">
        <v>287</v>
      </c>
      <c r="D63" s="135" t="s">
        <v>24</v>
      </c>
      <c r="E63" s="136" t="s">
        <v>8</v>
      </c>
      <c r="F63" s="137">
        <v>1</v>
      </c>
      <c r="G63" s="138">
        <f>G59*1.4</f>
        <v>56000</v>
      </c>
      <c r="H63" s="138">
        <f>H59*1.4</f>
        <v>2015.9999999999998</v>
      </c>
      <c r="I63" s="139">
        <f t="shared" ref="I63:J63" si="18">G63/2</f>
        <v>28000</v>
      </c>
      <c r="J63" s="139">
        <f t="shared" si="18"/>
        <v>1007.9999999999999</v>
      </c>
    </row>
    <row r="64" spans="1:10" ht="16.5" customHeight="1" outlineLevel="1" thickBot="1">
      <c r="A64" s="133" t="s">
        <v>615</v>
      </c>
      <c r="B64" s="134" t="s">
        <v>75</v>
      </c>
      <c r="C64" s="134" t="s">
        <v>288</v>
      </c>
      <c r="D64" s="135" t="s">
        <v>24</v>
      </c>
      <c r="E64" s="136" t="s">
        <v>8</v>
      </c>
      <c r="F64" s="137">
        <v>1</v>
      </c>
      <c r="G64" s="138">
        <f>G63*8*0.8</f>
        <v>358400</v>
      </c>
      <c r="H64" s="138">
        <f>H63*8*0.8</f>
        <v>12902.4</v>
      </c>
      <c r="I64" s="139">
        <f t="shared" ref="I64:J64" si="19">G64/2</f>
        <v>179200</v>
      </c>
      <c r="J64" s="139">
        <f t="shared" si="19"/>
        <v>6451.2</v>
      </c>
    </row>
    <row r="65" spans="1:10" ht="16.5" customHeight="1" outlineLevel="1" thickBot="1">
      <c r="A65" s="133" t="s">
        <v>616</v>
      </c>
      <c r="B65" s="134" t="s">
        <v>75</v>
      </c>
      <c r="C65" s="134" t="s">
        <v>79</v>
      </c>
      <c r="D65" s="135" t="s">
        <v>26</v>
      </c>
      <c r="E65" s="136" t="s">
        <v>12</v>
      </c>
      <c r="F65" s="137">
        <v>1</v>
      </c>
      <c r="G65" s="138">
        <f>G59*0.2</f>
        <v>8000</v>
      </c>
      <c r="H65" s="138">
        <f>H59*0.2</f>
        <v>288</v>
      </c>
      <c r="I65" s="139">
        <f t="shared" si="7"/>
        <v>4000</v>
      </c>
      <c r="J65" s="139">
        <f t="shared" si="7"/>
        <v>144</v>
      </c>
    </row>
    <row r="66" spans="1:10" ht="16.5" customHeight="1" outlineLevel="1" thickBot="1">
      <c r="A66" s="133" t="s">
        <v>617</v>
      </c>
      <c r="B66" s="134" t="s">
        <v>75</v>
      </c>
      <c r="C66" s="134" t="s">
        <v>264</v>
      </c>
      <c r="D66" s="135" t="s">
        <v>26</v>
      </c>
      <c r="E66" s="136" t="s">
        <v>12</v>
      </c>
      <c r="F66" s="137">
        <v>1</v>
      </c>
      <c r="G66" s="138">
        <f>G65*8*0.8</f>
        <v>51200</v>
      </c>
      <c r="H66" s="138">
        <f>H65*8*0.8</f>
        <v>1843.2</v>
      </c>
      <c r="I66" s="139">
        <f t="shared" ref="I66:J66" si="20">G66/2</f>
        <v>25600</v>
      </c>
      <c r="J66" s="139">
        <f t="shared" si="20"/>
        <v>921.6</v>
      </c>
    </row>
    <row r="67" spans="1:10" ht="16.5" customHeight="1">
      <c r="A67" s="141"/>
    </row>
    <row r="68" spans="1:10" ht="16.5" customHeight="1">
      <c r="A68" s="98" t="s">
        <v>710</v>
      </c>
    </row>
    <row r="69" spans="1:10" ht="16.5" customHeight="1"/>
    <row r="70" spans="1:10" ht="16.5" customHeight="1"/>
    <row r="71" spans="1:10" ht="16.5" customHeight="1"/>
    <row r="72" spans="1:10" ht="16.5" customHeight="1"/>
    <row r="73" spans="1:10" ht="16.5" customHeight="1"/>
    <row r="74" spans="1:10" ht="16.5" customHeight="1"/>
    <row r="75" spans="1:10" ht="16.5" customHeight="1"/>
    <row r="76" spans="1:10" ht="16.5" customHeight="1"/>
    <row r="77" spans="1:10" ht="16.5" customHeight="1"/>
    <row r="78" spans="1:10" ht="16.5" customHeight="1"/>
    <row r="79" spans="1:10" ht="16.5" customHeight="1"/>
    <row r="80" spans="1:1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sheetData>
  <mergeCells count="2">
    <mergeCell ref="A2:I2"/>
    <mergeCell ref="A1:H1"/>
  </mergeCells>
  <phoneticPr fontId="10" type="noConversion"/>
  <hyperlinks>
    <hyperlink ref="A1:H1" r:id="rId1" display="教育版支援的單位及範圍(規則)" xr:uid="{82BD5C1A-7F1E-CA4C-BCD8-DA3C35695C4E}"/>
    <hyperlink ref="I1" r:id="rId2" display="教育版支援的單位及範圍(規則)" xr:uid="{957B0165-A371-E84A-B23F-700C55A7939A}"/>
  </hyperlinks>
  <pageMargins left="0.25" right="0.25" top="0.75" bottom="0.75" header="0" footer="0"/>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DE345-8A2A-274C-9C72-D5775000FC72}">
  <sheetPr>
    <pageSetUpPr fitToPage="1"/>
  </sheetPr>
  <dimension ref="A1:J850"/>
  <sheetViews>
    <sheetView zoomScale="75" zoomScaleNormal="75" workbookViewId="0">
      <pane ySplit="3" topLeftCell="A4" activePane="bottomLeft" state="frozen"/>
      <selection pane="bottomLeft" activeCell="C3" sqref="C3"/>
    </sheetView>
  </sheetViews>
  <sheetFormatPr baseColWidth="10" defaultColWidth="11.140625" defaultRowHeight="15" customHeight="1" outlineLevelRow="1"/>
  <cols>
    <col min="1" max="1" width="11.7109375" style="124" customWidth="1"/>
    <col min="2" max="2" width="15.85546875" style="124" customWidth="1"/>
    <col min="3" max="3" width="55.140625" style="124" customWidth="1"/>
    <col min="4" max="4" width="27.28515625" style="124" bestFit="1" customWidth="1"/>
    <col min="5" max="5" width="17.7109375" style="124" customWidth="1"/>
    <col min="6" max="6" width="9.140625" style="124" customWidth="1"/>
    <col min="7" max="7" width="11.5703125" style="127" bestFit="1" customWidth="1"/>
    <col min="8" max="8" width="11.28515625" style="127" bestFit="1" customWidth="1"/>
    <col min="9" max="9" width="12.85546875" style="128" customWidth="1"/>
    <col min="10" max="10" width="12.7109375" style="128" customWidth="1"/>
    <col min="11" max="22" width="6.85546875" style="124" customWidth="1"/>
    <col min="23" max="16384" width="11.140625" style="124"/>
  </cols>
  <sheetData>
    <row r="1" spans="1:10" customFormat="1" ht="23.25" customHeight="1">
      <c r="A1" s="181" t="s">
        <v>707</v>
      </c>
      <c r="B1" s="181"/>
      <c r="C1" s="181"/>
      <c r="D1" s="181"/>
      <c r="E1" s="181"/>
      <c r="F1" s="181"/>
      <c r="G1" s="181"/>
      <c r="H1" s="181"/>
    </row>
    <row r="2" spans="1:10" ht="53.25" customHeight="1">
      <c r="A2" s="180" t="s">
        <v>561</v>
      </c>
      <c r="B2" s="180"/>
      <c r="C2" s="180"/>
      <c r="D2" s="180"/>
      <c r="E2" s="180"/>
      <c r="F2" s="180"/>
      <c r="G2" s="180"/>
      <c r="H2" s="180"/>
      <c r="I2" s="180"/>
      <c r="J2" s="125"/>
    </row>
    <row r="3" spans="1:10" ht="24">
      <c r="A3" s="126" t="s">
        <v>412</v>
      </c>
      <c r="B3" s="126"/>
    </row>
    <row r="4" spans="1:10" ht="38" thickBot="1">
      <c r="A4" s="121" t="s">
        <v>618</v>
      </c>
      <c r="B4" s="129"/>
    </row>
    <row r="5" spans="1:10" ht="30" outlineLevel="1">
      <c r="A5" s="130" t="s">
        <v>222</v>
      </c>
      <c r="B5" s="131" t="s">
        <v>0</v>
      </c>
      <c r="C5" s="131" t="s">
        <v>1</v>
      </c>
      <c r="D5" s="131" t="s">
        <v>2</v>
      </c>
      <c r="E5" s="130" t="s">
        <v>3</v>
      </c>
      <c r="F5" s="130" t="s">
        <v>4</v>
      </c>
      <c r="G5" s="123" t="s">
        <v>415</v>
      </c>
      <c r="H5" s="123" t="s">
        <v>416</v>
      </c>
      <c r="I5" s="107" t="s">
        <v>559</v>
      </c>
      <c r="J5" s="107" t="s">
        <v>560</v>
      </c>
    </row>
    <row r="6" spans="1:10" ht="16.5" customHeight="1" outlineLevel="1" thickBot="1">
      <c r="A6" s="133" t="s">
        <v>662</v>
      </c>
      <c r="B6" s="134" t="s">
        <v>65</v>
      </c>
      <c r="C6" s="134" t="s">
        <v>619</v>
      </c>
      <c r="D6" s="135" t="s">
        <v>419</v>
      </c>
      <c r="E6" s="136" t="s">
        <v>8</v>
      </c>
      <c r="F6" s="137">
        <v>1</v>
      </c>
      <c r="G6" s="138">
        <f>'AI-Stack Commercial Subscriptio'!G4*0.8</f>
        <v>120000</v>
      </c>
      <c r="H6" s="138">
        <f>'AI-Stack Commercial Subscriptio'!H4*0.8</f>
        <v>4320</v>
      </c>
      <c r="I6" s="139">
        <f t="shared" ref="I6:J13" si="0">G6*0.5</f>
        <v>60000</v>
      </c>
      <c r="J6" s="139">
        <f t="shared" si="0"/>
        <v>2160</v>
      </c>
    </row>
    <row r="7" spans="1:10" ht="16.5" customHeight="1" outlineLevel="1" thickBot="1">
      <c r="A7" s="133" t="s">
        <v>663</v>
      </c>
      <c r="B7" s="134" t="s">
        <v>65</v>
      </c>
      <c r="C7" s="134" t="s">
        <v>620</v>
      </c>
      <c r="D7" s="135" t="s">
        <v>419</v>
      </c>
      <c r="E7" s="136" t="s">
        <v>8</v>
      </c>
      <c r="F7" s="137">
        <v>1</v>
      </c>
      <c r="G7" s="138">
        <f>G6*8*0.8</f>
        <v>768000</v>
      </c>
      <c r="H7" s="138">
        <f>H6*8*0.8</f>
        <v>27648</v>
      </c>
      <c r="I7" s="139">
        <f t="shared" si="0"/>
        <v>384000</v>
      </c>
      <c r="J7" s="139">
        <f t="shared" si="0"/>
        <v>13824</v>
      </c>
    </row>
    <row r="8" spans="1:10" ht="16.5" customHeight="1" outlineLevel="1" thickBot="1">
      <c r="A8" s="133" t="s">
        <v>664</v>
      </c>
      <c r="B8" s="134" t="s">
        <v>65</v>
      </c>
      <c r="C8" s="134" t="s">
        <v>621</v>
      </c>
      <c r="D8" s="135" t="s">
        <v>419</v>
      </c>
      <c r="E8" s="136" t="s">
        <v>8</v>
      </c>
      <c r="F8" s="137">
        <v>1</v>
      </c>
      <c r="G8" s="138">
        <f>G6*1.2</f>
        <v>144000</v>
      </c>
      <c r="H8" s="138">
        <f>H6*1.2</f>
        <v>5184</v>
      </c>
      <c r="I8" s="139">
        <f t="shared" si="0"/>
        <v>72000</v>
      </c>
      <c r="J8" s="139">
        <f t="shared" si="0"/>
        <v>2592</v>
      </c>
    </row>
    <row r="9" spans="1:10" ht="16.5" customHeight="1" outlineLevel="1" thickBot="1">
      <c r="A9" s="133" t="s">
        <v>665</v>
      </c>
      <c r="B9" s="134" t="s">
        <v>65</v>
      </c>
      <c r="C9" s="134" t="s">
        <v>622</v>
      </c>
      <c r="D9" s="135" t="s">
        <v>419</v>
      </c>
      <c r="E9" s="136" t="s">
        <v>8</v>
      </c>
      <c r="F9" s="137">
        <v>1</v>
      </c>
      <c r="G9" s="138">
        <f>G8*8*0.8</f>
        <v>921600</v>
      </c>
      <c r="H9" s="138">
        <f>H8*8*0.8</f>
        <v>33177.599999999999</v>
      </c>
      <c r="I9" s="139">
        <f t="shared" si="0"/>
        <v>460800</v>
      </c>
      <c r="J9" s="139">
        <f t="shared" si="0"/>
        <v>16588.8</v>
      </c>
    </row>
    <row r="10" spans="1:10" ht="16.5" customHeight="1" outlineLevel="1" thickBot="1">
      <c r="A10" s="133" t="s">
        <v>666</v>
      </c>
      <c r="B10" s="134" t="s">
        <v>65</v>
      </c>
      <c r="C10" s="134" t="s">
        <v>623</v>
      </c>
      <c r="D10" s="135" t="s">
        <v>419</v>
      </c>
      <c r="E10" s="136" t="s">
        <v>8</v>
      </c>
      <c r="F10" s="137">
        <v>1</v>
      </c>
      <c r="G10" s="138">
        <f>G6*1.4</f>
        <v>168000</v>
      </c>
      <c r="H10" s="138">
        <f>H6*1.4</f>
        <v>6048</v>
      </c>
      <c r="I10" s="139">
        <f t="shared" si="0"/>
        <v>84000</v>
      </c>
      <c r="J10" s="139">
        <f t="shared" si="0"/>
        <v>3024</v>
      </c>
    </row>
    <row r="11" spans="1:10" ht="16.5" customHeight="1" outlineLevel="1" thickBot="1">
      <c r="A11" s="133" t="s">
        <v>667</v>
      </c>
      <c r="B11" s="134" t="s">
        <v>65</v>
      </c>
      <c r="C11" s="134" t="s">
        <v>624</v>
      </c>
      <c r="D11" s="135" t="s">
        <v>419</v>
      </c>
      <c r="E11" s="136" t="s">
        <v>8</v>
      </c>
      <c r="F11" s="137">
        <v>1</v>
      </c>
      <c r="G11" s="138">
        <f>G10*8*0.8</f>
        <v>1075200</v>
      </c>
      <c r="H11" s="138">
        <f>H10*8*0.8</f>
        <v>38707.200000000004</v>
      </c>
      <c r="I11" s="139">
        <f t="shared" si="0"/>
        <v>537600</v>
      </c>
      <c r="J11" s="139">
        <f t="shared" si="0"/>
        <v>19353.600000000002</v>
      </c>
    </row>
    <row r="12" spans="1:10" ht="16.5" customHeight="1" outlineLevel="1" thickBot="1">
      <c r="A12" s="133" t="s">
        <v>668</v>
      </c>
      <c r="B12" s="134" t="s">
        <v>65</v>
      </c>
      <c r="C12" s="134" t="s">
        <v>625</v>
      </c>
      <c r="D12" s="135" t="s">
        <v>14</v>
      </c>
      <c r="E12" s="137" t="s">
        <v>15</v>
      </c>
      <c r="F12" s="137">
        <v>1</v>
      </c>
      <c r="G12" s="138">
        <f>(G6-G35)*1.3</f>
        <v>52000</v>
      </c>
      <c r="H12" s="138">
        <f>(H6-H35)*1.3</f>
        <v>1872</v>
      </c>
      <c r="I12" s="139">
        <f t="shared" si="0"/>
        <v>26000</v>
      </c>
      <c r="J12" s="139">
        <f t="shared" si="0"/>
        <v>936</v>
      </c>
    </row>
    <row r="13" spans="1:10" ht="16.5" customHeight="1" outlineLevel="1" thickBot="1">
      <c r="A13" s="133" t="s">
        <v>669</v>
      </c>
      <c r="B13" s="134" t="s">
        <v>65</v>
      </c>
      <c r="C13" s="134" t="s">
        <v>626</v>
      </c>
      <c r="D13" s="135" t="s">
        <v>14</v>
      </c>
      <c r="E13" s="137" t="s">
        <v>15</v>
      </c>
      <c r="F13" s="137">
        <v>1</v>
      </c>
      <c r="G13" s="138">
        <f>G12*8*0.8</f>
        <v>332800</v>
      </c>
      <c r="H13" s="138">
        <f>H12*8*0.8</f>
        <v>11980.800000000001</v>
      </c>
      <c r="I13" s="139">
        <f t="shared" si="0"/>
        <v>166400</v>
      </c>
      <c r="J13" s="139">
        <f t="shared" si="0"/>
        <v>5990.4000000000005</v>
      </c>
    </row>
    <row r="14" spans="1:10" ht="16.5" customHeight="1" outlineLevel="1" thickBot="1">
      <c r="A14" s="133"/>
      <c r="B14" s="134"/>
      <c r="C14" s="134"/>
      <c r="D14" s="135"/>
      <c r="E14" s="137"/>
      <c r="F14" s="137"/>
      <c r="G14" s="138"/>
      <c r="H14" s="138"/>
      <c r="I14" s="139"/>
      <c r="J14" s="139"/>
    </row>
    <row r="15" spans="1:10" ht="16.5" customHeight="1" outlineLevel="1" thickBot="1">
      <c r="A15" s="133" t="s">
        <v>670</v>
      </c>
      <c r="B15" s="134" t="s">
        <v>65</v>
      </c>
      <c r="C15" s="134" t="s">
        <v>627</v>
      </c>
      <c r="D15" s="135" t="s">
        <v>419</v>
      </c>
      <c r="E15" s="136" t="s">
        <v>8</v>
      </c>
      <c r="F15" s="137">
        <v>1</v>
      </c>
      <c r="G15" s="138">
        <f>G6/2</f>
        <v>60000</v>
      </c>
      <c r="H15" s="138">
        <f>H6/2</f>
        <v>2160</v>
      </c>
      <c r="I15" s="139">
        <f t="shared" ref="I15:J22" si="1">G15*0.5</f>
        <v>30000</v>
      </c>
      <c r="J15" s="139">
        <f t="shared" si="1"/>
        <v>1080</v>
      </c>
    </row>
    <row r="16" spans="1:10" ht="16.5" customHeight="1" outlineLevel="1" thickBot="1">
      <c r="A16" s="133" t="s">
        <v>671</v>
      </c>
      <c r="B16" s="134" t="s">
        <v>65</v>
      </c>
      <c r="C16" s="134" t="s">
        <v>628</v>
      </c>
      <c r="D16" s="135" t="s">
        <v>419</v>
      </c>
      <c r="E16" s="136" t="s">
        <v>8</v>
      </c>
      <c r="F16" s="137">
        <v>1</v>
      </c>
      <c r="G16" s="138">
        <f>G15*8*0.8</f>
        <v>384000</v>
      </c>
      <c r="H16" s="138">
        <f>H15*8*0.8</f>
        <v>13824</v>
      </c>
      <c r="I16" s="139">
        <f t="shared" si="1"/>
        <v>192000</v>
      </c>
      <c r="J16" s="139">
        <f t="shared" si="1"/>
        <v>6912</v>
      </c>
    </row>
    <row r="17" spans="1:10" ht="16.5" customHeight="1" outlineLevel="1" thickBot="1">
      <c r="A17" s="133" t="s">
        <v>672</v>
      </c>
      <c r="B17" s="134" t="s">
        <v>65</v>
      </c>
      <c r="C17" s="134" t="s">
        <v>629</v>
      </c>
      <c r="D17" s="135" t="s">
        <v>419</v>
      </c>
      <c r="E17" s="136" t="s">
        <v>8</v>
      </c>
      <c r="F17" s="137">
        <v>1</v>
      </c>
      <c r="G17" s="138">
        <f>G15*1.2</f>
        <v>72000</v>
      </c>
      <c r="H17" s="138">
        <f>H15*1.2</f>
        <v>2592</v>
      </c>
      <c r="I17" s="139">
        <f t="shared" si="1"/>
        <v>36000</v>
      </c>
      <c r="J17" s="139">
        <f t="shared" si="1"/>
        <v>1296</v>
      </c>
    </row>
    <row r="18" spans="1:10" ht="16.5" customHeight="1" outlineLevel="1" thickBot="1">
      <c r="A18" s="133" t="s">
        <v>673</v>
      </c>
      <c r="B18" s="134" t="s">
        <v>65</v>
      </c>
      <c r="C18" s="134" t="s">
        <v>630</v>
      </c>
      <c r="D18" s="135" t="s">
        <v>419</v>
      </c>
      <c r="E18" s="136" t="s">
        <v>8</v>
      </c>
      <c r="F18" s="137">
        <v>1</v>
      </c>
      <c r="G18" s="138">
        <f>G17*8*0.8</f>
        <v>460800</v>
      </c>
      <c r="H18" s="138">
        <f>H17*8*0.8</f>
        <v>16588.8</v>
      </c>
      <c r="I18" s="139">
        <f t="shared" si="1"/>
        <v>230400</v>
      </c>
      <c r="J18" s="139">
        <f t="shared" si="1"/>
        <v>8294.4</v>
      </c>
    </row>
    <row r="19" spans="1:10" ht="16.5" customHeight="1" outlineLevel="1" thickBot="1">
      <c r="A19" s="133" t="s">
        <v>674</v>
      </c>
      <c r="B19" s="134" t="s">
        <v>65</v>
      </c>
      <c r="C19" s="134" t="s">
        <v>631</v>
      </c>
      <c r="D19" s="135" t="s">
        <v>419</v>
      </c>
      <c r="E19" s="136" t="s">
        <v>8</v>
      </c>
      <c r="F19" s="137">
        <v>1</v>
      </c>
      <c r="G19" s="138">
        <f>G15*1.4</f>
        <v>84000</v>
      </c>
      <c r="H19" s="138">
        <f>H15*1.4</f>
        <v>3024</v>
      </c>
      <c r="I19" s="139">
        <f t="shared" si="1"/>
        <v>42000</v>
      </c>
      <c r="J19" s="139">
        <f t="shared" si="1"/>
        <v>1512</v>
      </c>
    </row>
    <row r="20" spans="1:10" ht="16.5" customHeight="1" outlineLevel="1" thickBot="1">
      <c r="A20" s="133" t="s">
        <v>675</v>
      </c>
      <c r="B20" s="134" t="s">
        <v>65</v>
      </c>
      <c r="C20" s="134" t="s">
        <v>632</v>
      </c>
      <c r="D20" s="135" t="s">
        <v>419</v>
      </c>
      <c r="E20" s="136" t="s">
        <v>8</v>
      </c>
      <c r="F20" s="137">
        <v>1</v>
      </c>
      <c r="G20" s="138">
        <f>G19*8*0.8</f>
        <v>537600</v>
      </c>
      <c r="H20" s="138">
        <f>H19*8*0.8</f>
        <v>19353.600000000002</v>
      </c>
      <c r="I20" s="139">
        <f t="shared" si="1"/>
        <v>268800</v>
      </c>
      <c r="J20" s="139">
        <f t="shared" si="1"/>
        <v>9676.8000000000011</v>
      </c>
    </row>
    <row r="21" spans="1:10" ht="16.5" customHeight="1" outlineLevel="1" thickBot="1">
      <c r="A21" s="133" t="s">
        <v>676</v>
      </c>
      <c r="B21" s="134" t="s">
        <v>65</v>
      </c>
      <c r="C21" s="134" t="s">
        <v>633</v>
      </c>
      <c r="D21" s="135" t="s">
        <v>14</v>
      </c>
      <c r="E21" s="137" t="s">
        <v>15</v>
      </c>
      <c r="F21" s="137">
        <v>1</v>
      </c>
      <c r="G21" s="138">
        <f>G12/2</f>
        <v>26000</v>
      </c>
      <c r="H21" s="138">
        <f>H12/2</f>
        <v>936</v>
      </c>
      <c r="I21" s="139">
        <f t="shared" si="1"/>
        <v>13000</v>
      </c>
      <c r="J21" s="139">
        <f t="shared" si="1"/>
        <v>468</v>
      </c>
    </row>
    <row r="22" spans="1:10" ht="16.5" customHeight="1" outlineLevel="1" thickBot="1">
      <c r="A22" s="133" t="s">
        <v>677</v>
      </c>
      <c r="B22" s="134" t="s">
        <v>65</v>
      </c>
      <c r="C22" s="134" t="s">
        <v>634</v>
      </c>
      <c r="D22" s="135" t="s">
        <v>14</v>
      </c>
      <c r="E22" s="137" t="s">
        <v>15</v>
      </c>
      <c r="F22" s="137">
        <v>1</v>
      </c>
      <c r="G22" s="138">
        <f>G21*8*0.8</f>
        <v>166400</v>
      </c>
      <c r="H22" s="138">
        <f>H21*8*0.8</f>
        <v>5990.4000000000005</v>
      </c>
      <c r="I22" s="139">
        <f t="shared" si="1"/>
        <v>83200</v>
      </c>
      <c r="J22" s="139">
        <f t="shared" si="1"/>
        <v>2995.2000000000003</v>
      </c>
    </row>
    <row r="23" spans="1:10" ht="16.5" customHeight="1" outlineLevel="1" thickBot="1">
      <c r="A23" s="133"/>
      <c r="B23" s="134"/>
      <c r="C23" s="134"/>
      <c r="D23" s="135"/>
      <c r="E23" s="137"/>
      <c r="F23" s="137"/>
      <c r="G23" s="138"/>
      <c r="H23" s="138"/>
      <c r="I23" s="139"/>
      <c r="J23" s="139"/>
    </row>
    <row r="24" spans="1:10" ht="16.5" customHeight="1" outlineLevel="1" thickBot="1">
      <c r="A24" s="133" t="s">
        <v>678</v>
      </c>
      <c r="B24" s="134" t="s">
        <v>65</v>
      </c>
      <c r="C24" s="134" t="s">
        <v>635</v>
      </c>
      <c r="D24" s="135" t="s">
        <v>419</v>
      </c>
      <c r="E24" s="136" t="s">
        <v>8</v>
      </c>
      <c r="F24" s="137">
        <v>1</v>
      </c>
      <c r="G24" s="138">
        <f>G6/4</f>
        <v>30000</v>
      </c>
      <c r="H24" s="138">
        <f>H6/4</f>
        <v>1080</v>
      </c>
      <c r="I24" s="139">
        <f t="shared" ref="I24:J31" si="2">G24*0.5</f>
        <v>15000</v>
      </c>
      <c r="J24" s="139">
        <f t="shared" si="2"/>
        <v>540</v>
      </c>
    </row>
    <row r="25" spans="1:10" ht="16.5" customHeight="1" outlineLevel="1" thickBot="1">
      <c r="A25" s="133" t="s">
        <v>679</v>
      </c>
      <c r="B25" s="134" t="s">
        <v>65</v>
      </c>
      <c r="C25" s="134" t="s">
        <v>636</v>
      </c>
      <c r="D25" s="135" t="s">
        <v>419</v>
      </c>
      <c r="E25" s="136" t="s">
        <v>8</v>
      </c>
      <c r="F25" s="137">
        <v>1</v>
      </c>
      <c r="G25" s="138">
        <f>G24*8*0.8</f>
        <v>192000</v>
      </c>
      <c r="H25" s="138">
        <f>H24*8*0.8</f>
        <v>6912</v>
      </c>
      <c r="I25" s="139">
        <f t="shared" si="2"/>
        <v>96000</v>
      </c>
      <c r="J25" s="139">
        <f t="shared" si="2"/>
        <v>3456</v>
      </c>
    </row>
    <row r="26" spans="1:10" ht="16.5" customHeight="1" outlineLevel="1" thickBot="1">
      <c r="A26" s="133" t="s">
        <v>680</v>
      </c>
      <c r="B26" s="134" t="s">
        <v>65</v>
      </c>
      <c r="C26" s="134" t="s">
        <v>637</v>
      </c>
      <c r="D26" s="135" t="s">
        <v>419</v>
      </c>
      <c r="E26" s="136" t="s">
        <v>8</v>
      </c>
      <c r="F26" s="137">
        <v>1</v>
      </c>
      <c r="G26" s="138">
        <f>G24*1.2</f>
        <v>36000</v>
      </c>
      <c r="H26" s="138">
        <f>H24*1.2</f>
        <v>1296</v>
      </c>
      <c r="I26" s="139">
        <f t="shared" si="2"/>
        <v>18000</v>
      </c>
      <c r="J26" s="139">
        <f t="shared" si="2"/>
        <v>648</v>
      </c>
    </row>
    <row r="27" spans="1:10" ht="16.5" customHeight="1" outlineLevel="1" thickBot="1">
      <c r="A27" s="133" t="s">
        <v>681</v>
      </c>
      <c r="B27" s="134" t="s">
        <v>65</v>
      </c>
      <c r="C27" s="134" t="s">
        <v>638</v>
      </c>
      <c r="D27" s="135" t="s">
        <v>419</v>
      </c>
      <c r="E27" s="136" t="s">
        <v>8</v>
      </c>
      <c r="F27" s="137">
        <v>1</v>
      </c>
      <c r="G27" s="138">
        <f>G26*8*0.8</f>
        <v>230400</v>
      </c>
      <c r="H27" s="138">
        <f>H26*8*0.8</f>
        <v>8294.4</v>
      </c>
      <c r="I27" s="139">
        <f t="shared" si="2"/>
        <v>115200</v>
      </c>
      <c r="J27" s="139">
        <f t="shared" si="2"/>
        <v>4147.2</v>
      </c>
    </row>
    <row r="28" spans="1:10" ht="16.5" customHeight="1" outlineLevel="1" thickBot="1">
      <c r="A28" s="133" t="s">
        <v>682</v>
      </c>
      <c r="B28" s="134" t="s">
        <v>65</v>
      </c>
      <c r="C28" s="134" t="s">
        <v>639</v>
      </c>
      <c r="D28" s="135" t="s">
        <v>419</v>
      </c>
      <c r="E28" s="136" t="s">
        <v>8</v>
      </c>
      <c r="F28" s="137">
        <v>1</v>
      </c>
      <c r="G28" s="138">
        <f>G24*1.4</f>
        <v>42000</v>
      </c>
      <c r="H28" s="138">
        <f>H24*1.4</f>
        <v>1512</v>
      </c>
      <c r="I28" s="139">
        <f t="shared" si="2"/>
        <v>21000</v>
      </c>
      <c r="J28" s="139">
        <f t="shared" si="2"/>
        <v>756</v>
      </c>
    </row>
    <row r="29" spans="1:10" ht="16.5" customHeight="1" outlineLevel="1" thickBot="1">
      <c r="A29" s="133" t="s">
        <v>683</v>
      </c>
      <c r="B29" s="134" t="s">
        <v>65</v>
      </c>
      <c r="C29" s="134" t="s">
        <v>640</v>
      </c>
      <c r="D29" s="135" t="s">
        <v>419</v>
      </c>
      <c r="E29" s="136" t="s">
        <v>8</v>
      </c>
      <c r="F29" s="137">
        <v>1</v>
      </c>
      <c r="G29" s="138">
        <f>G28*8*0.8</f>
        <v>268800</v>
      </c>
      <c r="H29" s="138">
        <f>H28*8*0.8</f>
        <v>9676.8000000000011</v>
      </c>
      <c r="I29" s="139">
        <f t="shared" si="2"/>
        <v>134400</v>
      </c>
      <c r="J29" s="139">
        <f t="shared" si="2"/>
        <v>4838.4000000000005</v>
      </c>
    </row>
    <row r="30" spans="1:10" ht="16.5" customHeight="1" outlineLevel="1" thickBot="1">
      <c r="A30" s="133" t="s">
        <v>684</v>
      </c>
      <c r="B30" s="134" t="s">
        <v>65</v>
      </c>
      <c r="C30" s="134" t="s">
        <v>641</v>
      </c>
      <c r="D30" s="135" t="s">
        <v>14</v>
      </c>
      <c r="E30" s="137" t="s">
        <v>15</v>
      </c>
      <c r="F30" s="137">
        <v>1</v>
      </c>
      <c r="G30" s="138">
        <f>G21/2</f>
        <v>13000</v>
      </c>
      <c r="H30" s="138">
        <f>H21/2</f>
        <v>468</v>
      </c>
      <c r="I30" s="139">
        <f t="shared" si="2"/>
        <v>6500</v>
      </c>
      <c r="J30" s="139">
        <f t="shared" si="2"/>
        <v>234</v>
      </c>
    </row>
    <row r="31" spans="1:10" ht="16.5" customHeight="1" outlineLevel="1" thickBot="1">
      <c r="A31" s="133" t="s">
        <v>685</v>
      </c>
      <c r="B31" s="134" t="s">
        <v>65</v>
      </c>
      <c r="C31" s="134" t="s">
        <v>642</v>
      </c>
      <c r="D31" s="135" t="s">
        <v>14</v>
      </c>
      <c r="E31" s="137" t="s">
        <v>15</v>
      </c>
      <c r="F31" s="137">
        <v>1</v>
      </c>
      <c r="G31" s="138">
        <f>G30*8*0.8</f>
        <v>83200</v>
      </c>
      <c r="H31" s="138">
        <f>H30*8*0.8</f>
        <v>2995.2000000000003</v>
      </c>
      <c r="I31" s="139">
        <f t="shared" si="2"/>
        <v>41600</v>
      </c>
      <c r="J31" s="139">
        <f t="shared" si="2"/>
        <v>1497.6000000000001</v>
      </c>
    </row>
    <row r="32" spans="1:10" ht="16.5" customHeight="1" outlineLevel="1">
      <c r="A32" s="142"/>
      <c r="B32" s="142"/>
      <c r="C32" s="142"/>
      <c r="D32" s="143"/>
      <c r="E32" s="144"/>
      <c r="F32" s="144"/>
      <c r="G32" s="145"/>
      <c r="H32" s="145"/>
      <c r="I32" s="146"/>
      <c r="J32" s="146"/>
    </row>
    <row r="33" spans="1:10" ht="38" thickBot="1">
      <c r="A33" s="121" t="s">
        <v>643</v>
      </c>
      <c r="B33" s="129"/>
    </row>
    <row r="34" spans="1:10" ht="30" outlineLevel="1">
      <c r="A34" s="131" t="s">
        <v>222</v>
      </c>
      <c r="B34" s="131" t="s">
        <v>0</v>
      </c>
      <c r="C34" s="131" t="s">
        <v>1</v>
      </c>
      <c r="D34" s="131" t="s">
        <v>2</v>
      </c>
      <c r="E34" s="130" t="s">
        <v>3</v>
      </c>
      <c r="F34" s="130" t="s">
        <v>4</v>
      </c>
      <c r="G34" s="123" t="s">
        <v>415</v>
      </c>
      <c r="H34" s="123" t="s">
        <v>416</v>
      </c>
      <c r="I34" s="107" t="s">
        <v>559</v>
      </c>
      <c r="J34" s="107" t="s">
        <v>560</v>
      </c>
    </row>
    <row r="35" spans="1:10" ht="16.5" customHeight="1" outlineLevel="1" thickBot="1">
      <c r="A35" s="133" t="s">
        <v>686</v>
      </c>
      <c r="B35" s="134" t="s">
        <v>75</v>
      </c>
      <c r="C35" s="134" t="s">
        <v>644</v>
      </c>
      <c r="D35" s="135" t="s">
        <v>471</v>
      </c>
      <c r="E35" s="136" t="s">
        <v>8</v>
      </c>
      <c r="F35" s="137">
        <v>1</v>
      </c>
      <c r="G35" s="138">
        <f>'AI-Stack Commercial Subscriptio'!G33*0.8</f>
        <v>80000</v>
      </c>
      <c r="H35" s="138">
        <f>'AI-Stack Commercial Subscriptio'!H33*0.8</f>
        <v>2880</v>
      </c>
      <c r="I35" s="139">
        <f t="shared" ref="I35:J47" si="3">G35/2</f>
        <v>40000</v>
      </c>
      <c r="J35" s="139">
        <f t="shared" si="3"/>
        <v>1440</v>
      </c>
    </row>
    <row r="36" spans="1:10" ht="16.5" customHeight="1" outlineLevel="1" thickBot="1">
      <c r="A36" s="133" t="s">
        <v>687</v>
      </c>
      <c r="B36" s="134" t="s">
        <v>75</v>
      </c>
      <c r="C36" s="134" t="s">
        <v>645</v>
      </c>
      <c r="D36" s="135" t="s">
        <v>471</v>
      </c>
      <c r="E36" s="136" t="s">
        <v>8</v>
      </c>
      <c r="F36" s="137">
        <v>1</v>
      </c>
      <c r="G36" s="138">
        <f>G35*8*0.8</f>
        <v>512000</v>
      </c>
      <c r="H36" s="138">
        <f>H35*8*0.8</f>
        <v>18432</v>
      </c>
      <c r="I36" s="139">
        <f t="shared" si="3"/>
        <v>256000</v>
      </c>
      <c r="J36" s="139">
        <f t="shared" si="3"/>
        <v>9216</v>
      </c>
    </row>
    <row r="37" spans="1:10" ht="16.5" customHeight="1" outlineLevel="1" thickBot="1">
      <c r="A37" s="133" t="s">
        <v>688</v>
      </c>
      <c r="B37" s="134" t="s">
        <v>75</v>
      </c>
      <c r="C37" s="134" t="s">
        <v>646</v>
      </c>
      <c r="D37" s="135" t="s">
        <v>471</v>
      </c>
      <c r="E37" s="136" t="s">
        <v>8</v>
      </c>
      <c r="F37" s="137">
        <v>1</v>
      </c>
      <c r="G37" s="138">
        <f>G35*1.2</f>
        <v>96000</v>
      </c>
      <c r="H37" s="138">
        <f>H35*1.2</f>
        <v>3456</v>
      </c>
      <c r="I37" s="139">
        <f t="shared" si="3"/>
        <v>48000</v>
      </c>
      <c r="J37" s="139">
        <f t="shared" si="3"/>
        <v>1728</v>
      </c>
    </row>
    <row r="38" spans="1:10" ht="16.5" customHeight="1" outlineLevel="1" thickBot="1">
      <c r="A38" s="133" t="s">
        <v>689</v>
      </c>
      <c r="B38" s="134" t="s">
        <v>75</v>
      </c>
      <c r="C38" s="134" t="s">
        <v>647</v>
      </c>
      <c r="D38" s="135" t="s">
        <v>471</v>
      </c>
      <c r="E38" s="136" t="s">
        <v>8</v>
      </c>
      <c r="F38" s="137">
        <v>1</v>
      </c>
      <c r="G38" s="138">
        <f>G37*8*0.8</f>
        <v>614400</v>
      </c>
      <c r="H38" s="138">
        <f>H37*8*0.8</f>
        <v>22118.400000000001</v>
      </c>
      <c r="I38" s="139">
        <f t="shared" si="3"/>
        <v>307200</v>
      </c>
      <c r="J38" s="139">
        <f t="shared" si="3"/>
        <v>11059.2</v>
      </c>
    </row>
    <row r="39" spans="1:10" ht="16.5" customHeight="1" outlineLevel="1" thickBot="1">
      <c r="A39" s="133" t="s">
        <v>690</v>
      </c>
      <c r="B39" s="134" t="s">
        <v>75</v>
      </c>
      <c r="C39" s="134" t="s">
        <v>648</v>
      </c>
      <c r="D39" s="135" t="s">
        <v>471</v>
      </c>
      <c r="E39" s="136" t="s">
        <v>8</v>
      </c>
      <c r="F39" s="137">
        <v>1</v>
      </c>
      <c r="G39" s="138">
        <f>G35*1.4</f>
        <v>112000</v>
      </c>
      <c r="H39" s="138">
        <f>H35*1.4</f>
        <v>4031.9999999999995</v>
      </c>
      <c r="I39" s="139">
        <f t="shared" si="3"/>
        <v>56000</v>
      </c>
      <c r="J39" s="139">
        <f t="shared" si="3"/>
        <v>2015.9999999999998</v>
      </c>
    </row>
    <row r="40" spans="1:10" ht="16.5" customHeight="1" outlineLevel="1" thickBot="1">
      <c r="A40" s="133" t="s">
        <v>691</v>
      </c>
      <c r="B40" s="134" t="s">
        <v>75</v>
      </c>
      <c r="C40" s="134" t="s">
        <v>649</v>
      </c>
      <c r="D40" s="135" t="s">
        <v>471</v>
      </c>
      <c r="E40" s="136" t="s">
        <v>8</v>
      </c>
      <c r="F40" s="137">
        <v>1</v>
      </c>
      <c r="G40" s="138">
        <f>G39*8*0.8</f>
        <v>716800</v>
      </c>
      <c r="H40" s="138">
        <f>H39*8*0.8</f>
        <v>25804.799999999999</v>
      </c>
      <c r="I40" s="139">
        <f t="shared" si="3"/>
        <v>358400</v>
      </c>
      <c r="J40" s="139">
        <f t="shared" si="3"/>
        <v>12902.4</v>
      </c>
    </row>
    <row r="41" spans="1:10" ht="16.5" customHeight="1" outlineLevel="1" thickBot="1">
      <c r="A41" s="133"/>
      <c r="B41" s="134"/>
      <c r="C41" s="134"/>
      <c r="D41" s="135"/>
      <c r="E41" s="137"/>
      <c r="F41" s="137"/>
      <c r="G41" s="138"/>
      <c r="H41" s="138"/>
      <c r="I41" s="139"/>
      <c r="J41" s="139"/>
    </row>
    <row r="42" spans="1:10" ht="16.5" customHeight="1" outlineLevel="1" thickBot="1">
      <c r="A42" s="133" t="s">
        <v>692</v>
      </c>
      <c r="B42" s="134" t="s">
        <v>75</v>
      </c>
      <c r="C42" s="134" t="s">
        <v>650</v>
      </c>
      <c r="D42" s="135" t="s">
        <v>471</v>
      </c>
      <c r="E42" s="136" t="s">
        <v>8</v>
      </c>
      <c r="F42" s="137">
        <v>1</v>
      </c>
      <c r="G42" s="138">
        <f>G35/2</f>
        <v>40000</v>
      </c>
      <c r="H42" s="138">
        <f>H35/2</f>
        <v>1440</v>
      </c>
      <c r="I42" s="139">
        <f t="shared" si="3"/>
        <v>20000</v>
      </c>
      <c r="J42" s="139">
        <f t="shared" si="3"/>
        <v>720</v>
      </c>
    </row>
    <row r="43" spans="1:10" ht="16.5" customHeight="1" outlineLevel="1" thickBot="1">
      <c r="A43" s="133" t="s">
        <v>693</v>
      </c>
      <c r="B43" s="134" t="s">
        <v>75</v>
      </c>
      <c r="C43" s="134" t="s">
        <v>651</v>
      </c>
      <c r="D43" s="135" t="s">
        <v>471</v>
      </c>
      <c r="E43" s="136" t="s">
        <v>8</v>
      </c>
      <c r="F43" s="137">
        <v>1</v>
      </c>
      <c r="G43" s="138">
        <f>G42*8*0.8</f>
        <v>256000</v>
      </c>
      <c r="H43" s="138">
        <f>H42*8*0.8</f>
        <v>9216</v>
      </c>
      <c r="I43" s="139">
        <f t="shared" si="3"/>
        <v>128000</v>
      </c>
      <c r="J43" s="139">
        <f t="shared" si="3"/>
        <v>4608</v>
      </c>
    </row>
    <row r="44" spans="1:10" ht="16.5" customHeight="1" outlineLevel="1" thickBot="1">
      <c r="A44" s="133" t="s">
        <v>694</v>
      </c>
      <c r="B44" s="134" t="s">
        <v>75</v>
      </c>
      <c r="C44" s="134" t="s">
        <v>652</v>
      </c>
      <c r="D44" s="135" t="s">
        <v>471</v>
      </c>
      <c r="E44" s="136" t="s">
        <v>8</v>
      </c>
      <c r="F44" s="137">
        <v>1</v>
      </c>
      <c r="G44" s="138">
        <f>G42*1.2</f>
        <v>48000</v>
      </c>
      <c r="H44" s="138">
        <f>H42*1.2</f>
        <v>1728</v>
      </c>
      <c r="I44" s="139">
        <f t="shared" si="3"/>
        <v>24000</v>
      </c>
      <c r="J44" s="139">
        <f t="shared" si="3"/>
        <v>864</v>
      </c>
    </row>
    <row r="45" spans="1:10" ht="16.5" customHeight="1" outlineLevel="1" thickBot="1">
      <c r="A45" s="133" t="s">
        <v>695</v>
      </c>
      <c r="B45" s="134" t="s">
        <v>75</v>
      </c>
      <c r="C45" s="134" t="s">
        <v>653</v>
      </c>
      <c r="D45" s="135" t="s">
        <v>471</v>
      </c>
      <c r="E45" s="136" t="s">
        <v>8</v>
      </c>
      <c r="F45" s="137">
        <v>1</v>
      </c>
      <c r="G45" s="138">
        <f>G44*8*0.8</f>
        <v>307200</v>
      </c>
      <c r="H45" s="138">
        <f>H44*8*0.8</f>
        <v>11059.2</v>
      </c>
      <c r="I45" s="139">
        <f t="shared" si="3"/>
        <v>153600</v>
      </c>
      <c r="J45" s="139">
        <f t="shared" si="3"/>
        <v>5529.6</v>
      </c>
    </row>
    <row r="46" spans="1:10" ht="16.5" customHeight="1" outlineLevel="1" thickBot="1">
      <c r="A46" s="133" t="s">
        <v>696</v>
      </c>
      <c r="B46" s="134" t="s">
        <v>75</v>
      </c>
      <c r="C46" s="134" t="s">
        <v>654</v>
      </c>
      <c r="D46" s="135" t="s">
        <v>471</v>
      </c>
      <c r="E46" s="136" t="s">
        <v>8</v>
      </c>
      <c r="F46" s="137">
        <v>1</v>
      </c>
      <c r="G46" s="138">
        <f>G42*1.4</f>
        <v>56000</v>
      </c>
      <c r="H46" s="138">
        <f>H42*1.4</f>
        <v>2015.9999999999998</v>
      </c>
      <c r="I46" s="139">
        <f t="shared" si="3"/>
        <v>28000</v>
      </c>
      <c r="J46" s="139">
        <f t="shared" si="3"/>
        <v>1007.9999999999999</v>
      </c>
    </row>
    <row r="47" spans="1:10" ht="16.5" customHeight="1" outlineLevel="1" thickBot="1">
      <c r="A47" s="133" t="s">
        <v>697</v>
      </c>
      <c r="B47" s="134" t="s">
        <v>75</v>
      </c>
      <c r="C47" s="134" t="s">
        <v>655</v>
      </c>
      <c r="D47" s="135" t="s">
        <v>471</v>
      </c>
      <c r="E47" s="136" t="s">
        <v>8</v>
      </c>
      <c r="F47" s="137">
        <v>1</v>
      </c>
      <c r="G47" s="138">
        <f>G46*8*0.8</f>
        <v>358400</v>
      </c>
      <c r="H47" s="138">
        <f>H46*8*0.8</f>
        <v>12902.4</v>
      </c>
      <c r="I47" s="139">
        <f t="shared" si="3"/>
        <v>179200</v>
      </c>
      <c r="J47" s="139">
        <f t="shared" si="3"/>
        <v>6451.2</v>
      </c>
    </row>
    <row r="48" spans="1:10" ht="16.5" customHeight="1" outlineLevel="1" thickBot="1">
      <c r="A48" s="133"/>
      <c r="B48" s="134"/>
      <c r="C48" s="134"/>
      <c r="D48" s="135"/>
      <c r="E48" s="137"/>
      <c r="F48" s="137"/>
      <c r="G48" s="138"/>
      <c r="H48" s="138"/>
      <c r="I48" s="139"/>
      <c r="J48" s="139"/>
    </row>
    <row r="49" spans="1:10" ht="16.5" customHeight="1" outlineLevel="1" thickBot="1">
      <c r="A49" s="133" t="s">
        <v>698</v>
      </c>
      <c r="B49" s="134" t="s">
        <v>75</v>
      </c>
      <c r="C49" s="134" t="s">
        <v>656</v>
      </c>
      <c r="D49" s="135" t="s">
        <v>471</v>
      </c>
      <c r="E49" s="136" t="s">
        <v>8</v>
      </c>
      <c r="F49" s="137">
        <v>1</v>
      </c>
      <c r="G49" s="138">
        <f>G35/4</f>
        <v>20000</v>
      </c>
      <c r="H49" s="138">
        <f>H35/4</f>
        <v>720</v>
      </c>
      <c r="I49" s="139">
        <f t="shared" ref="I49:J54" si="4">G49/2</f>
        <v>10000</v>
      </c>
      <c r="J49" s="139">
        <f t="shared" si="4"/>
        <v>360</v>
      </c>
    </row>
    <row r="50" spans="1:10" ht="16.5" customHeight="1" outlineLevel="1" thickBot="1">
      <c r="A50" s="133" t="s">
        <v>699</v>
      </c>
      <c r="B50" s="134" t="s">
        <v>75</v>
      </c>
      <c r="C50" s="134" t="s">
        <v>657</v>
      </c>
      <c r="D50" s="135" t="s">
        <v>471</v>
      </c>
      <c r="E50" s="136" t="s">
        <v>8</v>
      </c>
      <c r="F50" s="137">
        <v>1</v>
      </c>
      <c r="G50" s="138">
        <f>G49*8*0.8</f>
        <v>128000</v>
      </c>
      <c r="H50" s="138">
        <f>H49*8*0.8</f>
        <v>4608</v>
      </c>
      <c r="I50" s="139">
        <f t="shared" si="4"/>
        <v>64000</v>
      </c>
      <c r="J50" s="139">
        <f t="shared" si="4"/>
        <v>2304</v>
      </c>
    </row>
    <row r="51" spans="1:10" ht="16.5" customHeight="1" outlineLevel="1" thickBot="1">
      <c r="A51" s="133" t="s">
        <v>700</v>
      </c>
      <c r="B51" s="134" t="s">
        <v>75</v>
      </c>
      <c r="C51" s="134" t="s">
        <v>658</v>
      </c>
      <c r="D51" s="135" t="s">
        <v>471</v>
      </c>
      <c r="E51" s="136" t="s">
        <v>8</v>
      </c>
      <c r="F51" s="137">
        <v>1</v>
      </c>
      <c r="G51" s="138">
        <f>G49*1.2</f>
        <v>24000</v>
      </c>
      <c r="H51" s="138">
        <f>H49*1.2</f>
        <v>864</v>
      </c>
      <c r="I51" s="139">
        <f t="shared" si="4"/>
        <v>12000</v>
      </c>
      <c r="J51" s="139">
        <f t="shared" si="4"/>
        <v>432</v>
      </c>
    </row>
    <row r="52" spans="1:10" ht="16.5" customHeight="1" outlineLevel="1" thickBot="1">
      <c r="A52" s="133" t="s">
        <v>701</v>
      </c>
      <c r="B52" s="134" t="s">
        <v>75</v>
      </c>
      <c r="C52" s="134" t="s">
        <v>659</v>
      </c>
      <c r="D52" s="135" t="s">
        <v>471</v>
      </c>
      <c r="E52" s="136" t="s">
        <v>8</v>
      </c>
      <c r="F52" s="137">
        <v>1</v>
      </c>
      <c r="G52" s="138">
        <f>G51*8*0.8</f>
        <v>153600</v>
      </c>
      <c r="H52" s="138">
        <f>H51*8*0.8</f>
        <v>5529.6</v>
      </c>
      <c r="I52" s="139">
        <f t="shared" si="4"/>
        <v>76800</v>
      </c>
      <c r="J52" s="139">
        <f t="shared" si="4"/>
        <v>2764.8</v>
      </c>
    </row>
    <row r="53" spans="1:10" ht="16.5" customHeight="1" outlineLevel="1" thickBot="1">
      <c r="A53" s="133" t="s">
        <v>702</v>
      </c>
      <c r="B53" s="134" t="s">
        <v>75</v>
      </c>
      <c r="C53" s="134" t="s">
        <v>660</v>
      </c>
      <c r="D53" s="135" t="s">
        <v>471</v>
      </c>
      <c r="E53" s="136" t="s">
        <v>8</v>
      </c>
      <c r="F53" s="137">
        <v>1</v>
      </c>
      <c r="G53" s="138">
        <f>G49*1.4</f>
        <v>28000</v>
      </c>
      <c r="H53" s="138">
        <f>H49*1.4</f>
        <v>1007.9999999999999</v>
      </c>
      <c r="I53" s="139">
        <f t="shared" si="4"/>
        <v>14000</v>
      </c>
      <c r="J53" s="139">
        <f t="shared" si="4"/>
        <v>503.99999999999994</v>
      </c>
    </row>
    <row r="54" spans="1:10" ht="16.5" customHeight="1" outlineLevel="1" thickBot="1">
      <c r="A54" s="133" t="s">
        <v>703</v>
      </c>
      <c r="B54" s="134" t="s">
        <v>75</v>
      </c>
      <c r="C54" s="134" t="s">
        <v>661</v>
      </c>
      <c r="D54" s="135" t="s">
        <v>471</v>
      </c>
      <c r="E54" s="136" t="s">
        <v>8</v>
      </c>
      <c r="F54" s="137">
        <v>1</v>
      </c>
      <c r="G54" s="138">
        <f>G53*8*0.8</f>
        <v>179200</v>
      </c>
      <c r="H54" s="138">
        <f>H53*8*0.8</f>
        <v>6451.2</v>
      </c>
      <c r="I54" s="139">
        <f t="shared" si="4"/>
        <v>89600</v>
      </c>
      <c r="J54" s="139">
        <f t="shared" si="4"/>
        <v>3225.6</v>
      </c>
    </row>
    <row r="55" spans="1:10" ht="16.5" customHeight="1">
      <c r="A55" s="141"/>
    </row>
    <row r="56" spans="1:10" ht="16.5" customHeight="1">
      <c r="A56" s="98" t="s">
        <v>710</v>
      </c>
    </row>
    <row r="57" spans="1:10" ht="16.5" customHeight="1"/>
    <row r="58" spans="1:10" ht="16.5" customHeight="1"/>
    <row r="59" spans="1:10" ht="16.5" customHeight="1"/>
    <row r="60" spans="1:10" ht="16.5" customHeight="1"/>
    <row r="61" spans="1:10" ht="16.5" customHeight="1"/>
    <row r="62" spans="1:10" ht="16.5" customHeight="1"/>
    <row r="63" spans="1:10" ht="16.5" customHeight="1"/>
    <row r="64" spans="1:10"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sheetData>
  <mergeCells count="2">
    <mergeCell ref="A2:I2"/>
    <mergeCell ref="A1:H1"/>
  </mergeCells>
  <phoneticPr fontId="10" type="noConversion"/>
  <hyperlinks>
    <hyperlink ref="A1:H1" r:id="rId1" display="教育版支援的單位及範圍(規則)" xr:uid="{B30677BC-4905-5642-AD76-A04D13D4A620}"/>
    <hyperlink ref="I1" r:id="rId2" display="教育版支援的單位及範圍(規則)" xr:uid="{525A3703-5162-E842-AC25-AD9B6903EDDD}"/>
  </hyperlinks>
  <pageMargins left="0.25" right="0.25" top="0.75" bottom="0.75" header="0" footer="0"/>
  <pageSetup paperSize="9"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3BD3E-0AD1-F24D-8533-54DBA5D9F835}">
  <sheetPr>
    <pageSetUpPr fitToPage="1"/>
  </sheetPr>
  <dimension ref="A1:J736"/>
  <sheetViews>
    <sheetView zoomScale="75" zoomScaleNormal="75" workbookViewId="0">
      <pane ySplit="3" topLeftCell="A4" activePane="bottomLeft" state="frozen"/>
      <selection pane="bottomLeft" activeCell="C6" sqref="C6:C9"/>
    </sheetView>
  </sheetViews>
  <sheetFormatPr baseColWidth="10" defaultColWidth="11.140625" defaultRowHeight="15" customHeight="1"/>
  <cols>
    <col min="1" max="1" width="18.85546875" style="155" customWidth="1"/>
    <col min="2" max="2" width="19.5703125" style="155" bestFit="1" customWidth="1"/>
    <col min="3" max="3" width="48.85546875" style="155" bestFit="1" customWidth="1"/>
    <col min="4" max="4" width="27.28515625" style="155" bestFit="1" customWidth="1"/>
    <col min="5" max="5" width="9.140625" style="155" customWidth="1"/>
    <col min="6" max="7" width="11.28515625" style="157" bestFit="1" customWidth="1"/>
    <col min="8" max="9" width="13" style="156" customWidth="1"/>
    <col min="10" max="10" width="11.42578125" style="155" customWidth="1"/>
    <col min="11" max="25" width="6.85546875" style="155" customWidth="1"/>
    <col min="26" max="16384" width="11.140625" style="155"/>
  </cols>
  <sheetData>
    <row r="1" spans="1:10" s="175" customFormat="1" ht="23.25" customHeight="1">
      <c r="A1" s="181" t="s">
        <v>707</v>
      </c>
      <c r="B1" s="181"/>
      <c r="C1" s="181"/>
      <c r="D1" s="181"/>
      <c r="E1" s="181"/>
      <c r="F1" s="181"/>
      <c r="G1" s="181"/>
      <c r="H1" s="181"/>
    </row>
    <row r="2" spans="1:10" ht="53.25" customHeight="1">
      <c r="A2" s="182" t="s">
        <v>561</v>
      </c>
      <c r="B2" s="182"/>
      <c r="C2" s="182"/>
      <c r="D2" s="182"/>
      <c r="E2" s="182"/>
      <c r="F2" s="182"/>
      <c r="G2" s="182"/>
      <c r="H2" s="182"/>
      <c r="I2" s="182"/>
      <c r="J2" s="174"/>
    </row>
    <row r="3" spans="1:10" ht="24">
      <c r="A3" s="173" t="s">
        <v>412</v>
      </c>
      <c r="B3" s="173"/>
    </row>
    <row r="4" spans="1:10" ht="38" thickBot="1">
      <c r="A4" s="172" t="s">
        <v>714</v>
      </c>
      <c r="B4" s="172"/>
      <c r="C4" s="172"/>
      <c r="D4" s="172"/>
      <c r="E4" s="165"/>
      <c r="F4" s="171"/>
      <c r="G4" s="171"/>
      <c r="J4" s="165"/>
    </row>
    <row r="5" spans="1:10" ht="30">
      <c r="A5" s="170" t="s">
        <v>222</v>
      </c>
      <c r="B5" s="169" t="s">
        <v>414</v>
      </c>
      <c r="C5" s="169" t="s">
        <v>1</v>
      </c>
      <c r="D5" s="169" t="s">
        <v>2</v>
      </c>
      <c r="E5" s="168" t="s">
        <v>4</v>
      </c>
      <c r="F5" s="167" t="s">
        <v>415</v>
      </c>
      <c r="G5" s="167" t="s">
        <v>416</v>
      </c>
      <c r="H5" s="166" t="s">
        <v>559</v>
      </c>
      <c r="I5" s="166" t="s">
        <v>560</v>
      </c>
      <c r="J5" s="165"/>
    </row>
    <row r="6" spans="1:10" ht="16.5" customHeight="1" thickBot="1">
      <c r="A6" s="164" t="s">
        <v>722</v>
      </c>
      <c r="B6" s="163" t="s">
        <v>723</v>
      </c>
      <c r="C6" s="163" t="s">
        <v>726</v>
      </c>
      <c r="D6" s="162" t="s">
        <v>725</v>
      </c>
      <c r="E6" s="161">
        <v>1</v>
      </c>
      <c r="F6" s="160">
        <f>'AI-Stack Commercial Service'!F4*0.8</f>
        <v>36000</v>
      </c>
      <c r="G6" s="160">
        <f>'AI-Stack Commercial Service'!G4*0.8</f>
        <v>1296</v>
      </c>
      <c r="H6" s="159">
        <f t="shared" ref="H6:I9" si="0">F6*0.8</f>
        <v>28800</v>
      </c>
      <c r="I6" s="159">
        <f t="shared" si="0"/>
        <v>1036.8</v>
      </c>
      <c r="J6" s="158"/>
    </row>
    <row r="7" spans="1:10" ht="16.5" customHeight="1" thickBot="1">
      <c r="A7" s="164" t="s">
        <v>721</v>
      </c>
      <c r="B7" s="163" t="s">
        <v>723</v>
      </c>
      <c r="C7" s="163" t="s">
        <v>727</v>
      </c>
      <c r="D7" s="162" t="s">
        <v>725</v>
      </c>
      <c r="E7" s="161">
        <v>1</v>
      </c>
      <c r="F7" s="160">
        <f>'AI-Stack Commercial Service'!F5*0.8</f>
        <v>20000</v>
      </c>
      <c r="G7" s="160">
        <f>'AI-Stack Commercial Service'!G5*0.8</f>
        <v>720</v>
      </c>
      <c r="H7" s="159">
        <f t="shared" si="0"/>
        <v>16000</v>
      </c>
      <c r="I7" s="159">
        <f t="shared" si="0"/>
        <v>576</v>
      </c>
      <c r="J7" s="158"/>
    </row>
    <row r="8" spans="1:10" ht="16.5" customHeight="1" thickBot="1">
      <c r="A8" s="164" t="s">
        <v>720</v>
      </c>
      <c r="B8" s="163" t="s">
        <v>723</v>
      </c>
      <c r="C8" s="163" t="s">
        <v>712</v>
      </c>
      <c r="D8" s="162" t="s">
        <v>724</v>
      </c>
      <c r="E8" s="161">
        <v>1</v>
      </c>
      <c r="F8" s="160">
        <f>'AI-Stack Commercial Service'!F6*0.8</f>
        <v>24000</v>
      </c>
      <c r="G8" s="160">
        <f>'AI-Stack Commercial Service'!G6*0.8</f>
        <v>864</v>
      </c>
      <c r="H8" s="159">
        <f t="shared" si="0"/>
        <v>19200</v>
      </c>
      <c r="I8" s="159">
        <f t="shared" si="0"/>
        <v>691.2</v>
      </c>
      <c r="J8" s="158"/>
    </row>
    <row r="9" spans="1:10" ht="16.5" customHeight="1" thickBot="1">
      <c r="A9" s="164" t="s">
        <v>720</v>
      </c>
      <c r="B9" s="163" t="s">
        <v>723</v>
      </c>
      <c r="C9" s="163" t="s">
        <v>711</v>
      </c>
      <c r="D9" s="162" t="s">
        <v>724</v>
      </c>
      <c r="E9" s="161">
        <v>1</v>
      </c>
      <c r="F9" s="160">
        <f>'AI-Stack Commercial Service'!F7*0.8</f>
        <v>14000</v>
      </c>
      <c r="G9" s="160">
        <f>'AI-Stack Commercial Service'!G7*0.8</f>
        <v>504</v>
      </c>
      <c r="H9" s="159">
        <f t="shared" si="0"/>
        <v>11200</v>
      </c>
      <c r="I9" s="159">
        <f t="shared" si="0"/>
        <v>403.20000000000005</v>
      </c>
      <c r="J9" s="158"/>
    </row>
    <row r="10" spans="1:10" ht="16.5" customHeight="1"/>
    <row r="11" spans="1:10" ht="16.5" customHeight="1"/>
    <row r="12" spans="1:10" ht="16.5" customHeight="1"/>
    <row r="13" spans="1:10" ht="16.5" customHeight="1"/>
    <row r="14" spans="1:10" ht="16.5" customHeight="1"/>
    <row r="15" spans="1:10" ht="16.5" customHeight="1"/>
    <row r="16" spans="1:10"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sheetData>
  <mergeCells count="2">
    <mergeCell ref="A1:H1"/>
    <mergeCell ref="A2:I2"/>
  </mergeCells>
  <phoneticPr fontId="57" type="noConversion"/>
  <hyperlinks>
    <hyperlink ref="A1:H1" r:id="rId1" display="教育版支援的單位及範圍(規則)" xr:uid="{4A380847-E0D6-1446-BE36-39C08A0AA24E}"/>
    <hyperlink ref="I1" r:id="rId2" display="教育版支援的單位及範圍(規則)" xr:uid="{C690FB47-B581-2B45-8C70-4970BBC2AF6F}"/>
  </hyperlinks>
  <pageMargins left="0.25" right="0.25" top="0.75" bottom="0.75" header="0" footer="0"/>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900"/>
  <sheetViews>
    <sheetView topLeftCell="B1" zoomScale="75" zoomScaleNormal="75" workbookViewId="0">
      <pane ySplit="1" topLeftCell="A2" activePane="bottomLeft" state="frozen"/>
      <selection pane="bottomLeft" activeCell="I4" sqref="I4"/>
    </sheetView>
  </sheetViews>
  <sheetFormatPr baseColWidth="10" defaultColWidth="11.140625" defaultRowHeight="15" customHeight="1" outlineLevelRow="1"/>
  <cols>
    <col min="1" max="2" width="18.85546875" customWidth="1"/>
    <col min="3" max="3" width="45.42578125" customWidth="1"/>
    <col min="4" max="4" width="24.42578125" customWidth="1"/>
    <col min="5" max="5" width="14.5703125" customWidth="1"/>
    <col min="6" max="6" width="9.140625" customWidth="1"/>
    <col min="7" max="7" width="11.140625" style="64" customWidth="1"/>
    <col min="8" max="8" width="13.85546875" style="64" customWidth="1"/>
    <col min="9" max="26" width="6.85546875" customWidth="1"/>
  </cols>
  <sheetData>
    <row r="1" spans="1:10" ht="24">
      <c r="A1" s="126" t="s">
        <v>412</v>
      </c>
      <c r="B1" s="126"/>
      <c r="C1" s="124"/>
      <c r="D1" s="124"/>
      <c r="E1" s="147"/>
      <c r="F1" s="124"/>
      <c r="G1" s="128"/>
      <c r="H1" s="128"/>
    </row>
    <row r="2" spans="1:10" ht="38" thickBot="1">
      <c r="A2" s="121" t="s">
        <v>705</v>
      </c>
      <c r="B2" s="129"/>
      <c r="C2" s="124"/>
      <c r="D2" s="124"/>
      <c r="E2" s="147"/>
      <c r="F2" s="124"/>
      <c r="G2" s="128"/>
      <c r="H2" s="128"/>
    </row>
    <row r="3" spans="1:10" ht="30" outlineLevel="1">
      <c r="A3" s="131" t="s">
        <v>222</v>
      </c>
      <c r="B3" s="131" t="s">
        <v>0</v>
      </c>
      <c r="C3" s="131" t="s">
        <v>1</v>
      </c>
      <c r="D3" s="131" t="s">
        <v>2</v>
      </c>
      <c r="E3" s="148" t="s">
        <v>3</v>
      </c>
      <c r="F3" s="130" t="s">
        <v>4</v>
      </c>
      <c r="G3" s="132" t="s">
        <v>415</v>
      </c>
      <c r="H3" s="107" t="s">
        <v>559</v>
      </c>
    </row>
    <row r="4" spans="1:10" ht="16.5" customHeight="1" outlineLevel="1" thickBot="1">
      <c r="A4" s="133" t="s">
        <v>80</v>
      </c>
      <c r="B4" s="134" t="s">
        <v>81</v>
      </c>
      <c r="C4" s="134" t="s">
        <v>82</v>
      </c>
      <c r="D4" s="135" t="s">
        <v>83</v>
      </c>
      <c r="E4" s="136" t="s">
        <v>84</v>
      </c>
      <c r="F4" s="137">
        <v>1</v>
      </c>
      <c r="G4" s="149">
        <v>83000</v>
      </c>
      <c r="H4" s="139">
        <f>G4*0.5</f>
        <v>41500</v>
      </c>
      <c r="J4" s="46"/>
    </row>
    <row r="5" spans="1:10" ht="16.5" customHeight="1" outlineLevel="1" thickBot="1">
      <c r="A5" s="133" t="s">
        <v>265</v>
      </c>
      <c r="B5" s="134" t="s">
        <v>81</v>
      </c>
      <c r="C5" s="134" t="s">
        <v>275</v>
      </c>
      <c r="D5" s="135" t="s">
        <v>83</v>
      </c>
      <c r="E5" s="136" t="s">
        <v>84</v>
      </c>
      <c r="F5" s="137">
        <v>1</v>
      </c>
      <c r="G5" s="149">
        <f>G4*1.2</f>
        <v>99600</v>
      </c>
      <c r="H5" s="139">
        <f>G5*0.5</f>
        <v>49800</v>
      </c>
      <c r="J5" s="46"/>
    </row>
    <row r="6" spans="1:10" ht="16.5" customHeight="1" outlineLevel="1" thickBot="1">
      <c r="A6" s="133" t="s">
        <v>266</v>
      </c>
      <c r="B6" s="134" t="s">
        <v>81</v>
      </c>
      <c r="C6" s="134" t="s">
        <v>276</v>
      </c>
      <c r="D6" s="135" t="s">
        <v>83</v>
      </c>
      <c r="E6" s="136" t="s">
        <v>84</v>
      </c>
      <c r="F6" s="137">
        <v>1</v>
      </c>
      <c r="G6" s="149">
        <f>G4*1.4</f>
        <v>116199.99999999999</v>
      </c>
      <c r="H6" s="139">
        <f>G6*0.5</f>
        <v>58099.999999999993</v>
      </c>
      <c r="J6" s="46"/>
    </row>
    <row r="7" spans="1:10" ht="16.5" customHeight="1" outlineLevel="1" thickBot="1">
      <c r="A7" s="133" t="s">
        <v>85</v>
      </c>
      <c r="B7" s="134" t="s">
        <v>81</v>
      </c>
      <c r="C7" s="134" t="s">
        <v>86</v>
      </c>
      <c r="D7" s="135" t="s">
        <v>87</v>
      </c>
      <c r="E7" s="136" t="s">
        <v>88</v>
      </c>
      <c r="F7" s="137">
        <v>1</v>
      </c>
      <c r="G7" s="149">
        <f>G4*0.2</f>
        <v>16600</v>
      </c>
      <c r="H7" s="139">
        <f t="shared" ref="H7:H17" si="0">G7*0.5</f>
        <v>8300</v>
      </c>
      <c r="J7" s="46"/>
    </row>
    <row r="8" spans="1:10" ht="16.5" customHeight="1" outlineLevel="1" thickBot="1">
      <c r="A8" s="133"/>
      <c r="B8" s="134"/>
      <c r="C8" s="134"/>
      <c r="D8" s="135"/>
      <c r="E8" s="136"/>
      <c r="F8" s="137"/>
      <c r="G8" s="149"/>
      <c r="H8" s="139">
        <f t="shared" si="0"/>
        <v>0</v>
      </c>
    </row>
    <row r="9" spans="1:10" ht="16.5" customHeight="1" outlineLevel="1" thickBot="1">
      <c r="A9" s="133" t="s">
        <v>89</v>
      </c>
      <c r="B9" s="134" t="s">
        <v>81</v>
      </c>
      <c r="C9" s="134" t="s">
        <v>90</v>
      </c>
      <c r="D9" s="135" t="s">
        <v>91</v>
      </c>
      <c r="E9" s="136" t="s">
        <v>84</v>
      </c>
      <c r="F9" s="137">
        <v>1</v>
      </c>
      <c r="G9" s="149">
        <v>445000</v>
      </c>
      <c r="H9" s="139">
        <f t="shared" ref="H9:H10" si="1">G9*0.5</f>
        <v>222500</v>
      </c>
      <c r="J9" s="46"/>
    </row>
    <row r="10" spans="1:10" ht="16.5" customHeight="1" outlineLevel="1" thickBot="1">
      <c r="A10" s="133" t="s">
        <v>267</v>
      </c>
      <c r="B10" s="134" t="s">
        <v>81</v>
      </c>
      <c r="C10" s="134" t="s">
        <v>271</v>
      </c>
      <c r="D10" s="135" t="s">
        <v>91</v>
      </c>
      <c r="E10" s="136" t="s">
        <v>84</v>
      </c>
      <c r="F10" s="137">
        <v>1</v>
      </c>
      <c r="G10" s="149">
        <f>G9*1.2</f>
        <v>534000</v>
      </c>
      <c r="H10" s="139">
        <f t="shared" si="1"/>
        <v>267000</v>
      </c>
      <c r="J10" s="46"/>
    </row>
    <row r="11" spans="1:10" ht="16.5" customHeight="1" outlineLevel="1" thickBot="1">
      <c r="A11" s="133" t="s">
        <v>268</v>
      </c>
      <c r="B11" s="134" t="s">
        <v>81</v>
      </c>
      <c r="C11" s="134" t="s">
        <v>272</v>
      </c>
      <c r="D11" s="135" t="s">
        <v>91</v>
      </c>
      <c r="E11" s="136" t="s">
        <v>84</v>
      </c>
      <c r="F11" s="137">
        <v>1</v>
      </c>
      <c r="G11" s="149">
        <f>G9*1.4</f>
        <v>623000</v>
      </c>
      <c r="H11" s="139">
        <f t="shared" si="0"/>
        <v>311500</v>
      </c>
      <c r="J11" s="46"/>
    </row>
    <row r="12" spans="1:10" ht="16.5" customHeight="1" outlineLevel="1" thickBot="1">
      <c r="A12" s="133" t="s">
        <v>92</v>
      </c>
      <c r="B12" s="134" t="s">
        <v>81</v>
      </c>
      <c r="C12" s="134" t="s">
        <v>93</v>
      </c>
      <c r="D12" s="135" t="s">
        <v>94</v>
      </c>
      <c r="E12" s="136" t="s">
        <v>88</v>
      </c>
      <c r="F12" s="137">
        <v>1</v>
      </c>
      <c r="G12" s="149">
        <f>G11*0.2</f>
        <v>124600</v>
      </c>
      <c r="H12" s="139">
        <f t="shared" si="0"/>
        <v>62300</v>
      </c>
      <c r="J12" s="46"/>
    </row>
    <row r="13" spans="1:10" ht="16.5" customHeight="1" outlineLevel="1" thickBot="1">
      <c r="A13" s="133"/>
      <c r="B13" s="134"/>
      <c r="C13" s="134"/>
      <c r="D13" s="135"/>
      <c r="E13" s="136"/>
      <c r="F13" s="137"/>
      <c r="G13" s="149"/>
      <c r="H13" s="139">
        <f t="shared" si="0"/>
        <v>0</v>
      </c>
    </row>
    <row r="14" spans="1:10" ht="16.5" customHeight="1" outlineLevel="1" thickBot="1">
      <c r="A14" s="133" t="s">
        <v>95</v>
      </c>
      <c r="B14" s="134" t="s">
        <v>81</v>
      </c>
      <c r="C14" s="134" t="s">
        <v>96</v>
      </c>
      <c r="D14" s="135" t="s">
        <v>97</v>
      </c>
      <c r="E14" s="136" t="s">
        <v>84</v>
      </c>
      <c r="F14" s="137">
        <v>1</v>
      </c>
      <c r="G14" s="149">
        <v>833000</v>
      </c>
      <c r="H14" s="139">
        <f t="shared" ref="H14:H15" si="2">G14*0.5</f>
        <v>416500</v>
      </c>
      <c r="J14" s="46"/>
    </row>
    <row r="15" spans="1:10" ht="16.5" customHeight="1" outlineLevel="1" thickBot="1">
      <c r="A15" s="133" t="s">
        <v>269</v>
      </c>
      <c r="B15" s="134" t="s">
        <v>81</v>
      </c>
      <c r="C15" s="134" t="s">
        <v>273</v>
      </c>
      <c r="D15" s="135" t="s">
        <v>97</v>
      </c>
      <c r="E15" s="136" t="s">
        <v>84</v>
      </c>
      <c r="F15" s="137">
        <v>1</v>
      </c>
      <c r="G15" s="149">
        <f>G14*1.2</f>
        <v>999600</v>
      </c>
      <c r="H15" s="139">
        <f t="shared" si="2"/>
        <v>499800</v>
      </c>
      <c r="J15" s="46"/>
    </row>
    <row r="16" spans="1:10" ht="16.5" customHeight="1" outlineLevel="1" thickBot="1">
      <c r="A16" s="133" t="s">
        <v>270</v>
      </c>
      <c r="B16" s="134" t="s">
        <v>81</v>
      </c>
      <c r="C16" s="134" t="s">
        <v>274</v>
      </c>
      <c r="D16" s="135" t="s">
        <v>97</v>
      </c>
      <c r="E16" s="136" t="s">
        <v>84</v>
      </c>
      <c r="F16" s="137">
        <v>1</v>
      </c>
      <c r="G16" s="149">
        <f>G14*1.4</f>
        <v>1166200</v>
      </c>
      <c r="H16" s="139">
        <f t="shared" si="0"/>
        <v>583100</v>
      </c>
      <c r="J16" s="46"/>
    </row>
    <row r="17" spans="1:10" ht="16.5" customHeight="1" outlineLevel="1" thickBot="1">
      <c r="A17" s="133" t="s">
        <v>98</v>
      </c>
      <c r="B17" s="134" t="s">
        <v>81</v>
      </c>
      <c r="C17" s="134" t="s">
        <v>99</v>
      </c>
      <c r="D17" s="135" t="s">
        <v>100</v>
      </c>
      <c r="E17" s="136" t="s">
        <v>88</v>
      </c>
      <c r="F17" s="137">
        <v>1</v>
      </c>
      <c r="G17" s="149">
        <f>G16*0.2</f>
        <v>233240</v>
      </c>
      <c r="H17" s="139">
        <f t="shared" si="0"/>
        <v>116620</v>
      </c>
      <c r="J17" s="46"/>
    </row>
    <row r="18" spans="1:10" ht="16.5" customHeight="1">
      <c r="A18" s="1"/>
      <c r="B18" s="1"/>
      <c r="C18" s="1"/>
      <c r="D18" s="1"/>
      <c r="E18" s="23"/>
    </row>
    <row r="19" spans="1:10" ht="16.5" customHeight="1">
      <c r="A19" s="1"/>
      <c r="B19" s="1"/>
      <c r="C19" s="1"/>
      <c r="D19" s="1"/>
      <c r="E19" s="23"/>
    </row>
    <row r="20" spans="1:10" ht="16.5" customHeight="1">
      <c r="A20" s="1"/>
      <c r="B20" s="1"/>
      <c r="C20" s="1"/>
      <c r="D20" s="1"/>
      <c r="E20" s="23"/>
    </row>
    <row r="21" spans="1:10" ht="16.5" customHeight="1">
      <c r="A21" s="1"/>
      <c r="B21" s="1"/>
      <c r="C21" s="1"/>
      <c r="D21" s="1"/>
      <c r="E21" s="23"/>
    </row>
    <row r="22" spans="1:10" ht="16.5" customHeight="1">
      <c r="A22" s="1"/>
      <c r="B22" s="1"/>
      <c r="C22" s="1"/>
      <c r="D22" s="1"/>
      <c r="E22" s="23"/>
    </row>
    <row r="23" spans="1:10" ht="16.5" customHeight="1">
      <c r="A23" s="1"/>
      <c r="B23" s="1"/>
      <c r="C23" s="1"/>
      <c r="D23" s="1"/>
      <c r="E23" s="23"/>
    </row>
    <row r="24" spans="1:10" ht="16.5" customHeight="1">
      <c r="A24" s="1"/>
      <c r="B24" s="1"/>
      <c r="C24" s="1"/>
      <c r="D24" s="1"/>
      <c r="E24" s="23"/>
    </row>
    <row r="25" spans="1:10" ht="16.5" customHeight="1">
      <c r="A25" s="1"/>
      <c r="B25" s="1"/>
      <c r="C25" s="1"/>
      <c r="D25" s="1"/>
      <c r="E25" s="23"/>
    </row>
    <row r="26" spans="1:10" ht="16.5" customHeight="1">
      <c r="A26" s="1"/>
      <c r="B26" s="1"/>
      <c r="C26" s="1"/>
      <c r="D26" s="1"/>
      <c r="E26" s="23"/>
    </row>
    <row r="27" spans="1:10" ht="16.5" customHeight="1">
      <c r="A27" s="1"/>
      <c r="B27" s="1"/>
      <c r="C27" s="1"/>
      <c r="D27" s="1"/>
      <c r="E27" s="23"/>
    </row>
    <row r="28" spans="1:10" ht="16.5" customHeight="1">
      <c r="A28" s="1"/>
      <c r="B28" s="1"/>
      <c r="C28" s="1"/>
      <c r="D28" s="1"/>
      <c r="E28" s="23"/>
    </row>
    <row r="29" spans="1:10" ht="16.5" customHeight="1">
      <c r="A29" s="1"/>
      <c r="B29" s="1"/>
      <c r="C29" s="1"/>
      <c r="D29" s="1"/>
      <c r="E29" s="23"/>
    </row>
    <row r="30" spans="1:10" ht="16.5" customHeight="1">
      <c r="A30" s="1"/>
      <c r="B30" s="1"/>
      <c r="C30" s="1"/>
      <c r="D30" s="1"/>
      <c r="E30" s="23"/>
    </row>
    <row r="31" spans="1:10" ht="16.5" customHeight="1">
      <c r="A31" s="1"/>
      <c r="B31" s="1"/>
      <c r="C31" s="1"/>
      <c r="D31" s="1"/>
      <c r="E31" s="23"/>
    </row>
    <row r="32" spans="1:10" ht="16.5" customHeight="1">
      <c r="A32" s="1"/>
      <c r="B32" s="1"/>
      <c r="C32" s="1"/>
      <c r="D32" s="1"/>
      <c r="E32" s="23"/>
    </row>
    <row r="33" spans="1:5" ht="16.5" customHeight="1">
      <c r="A33" s="1"/>
      <c r="B33" s="1"/>
      <c r="C33" s="1"/>
      <c r="D33" s="1"/>
      <c r="E33" s="23"/>
    </row>
    <row r="34" spans="1:5" ht="16.5" customHeight="1">
      <c r="A34" s="1"/>
      <c r="B34" s="1"/>
      <c r="C34" s="1"/>
      <c r="D34" s="1"/>
      <c r="E34" s="23"/>
    </row>
    <row r="35" spans="1:5" ht="16.5" customHeight="1">
      <c r="A35" s="1"/>
      <c r="B35" s="1"/>
      <c r="C35" s="1"/>
      <c r="D35" s="1"/>
      <c r="E35" s="23"/>
    </row>
    <row r="36" spans="1:5" ht="16.5" customHeight="1">
      <c r="A36" s="1"/>
      <c r="B36" s="1"/>
      <c r="C36" s="1"/>
      <c r="D36" s="1"/>
      <c r="E36" s="23"/>
    </row>
    <row r="37" spans="1:5" ht="16.5" customHeight="1">
      <c r="A37" s="1"/>
      <c r="B37" s="1"/>
      <c r="C37" s="1"/>
      <c r="D37" s="1"/>
      <c r="E37" s="23"/>
    </row>
    <row r="38" spans="1:5" ht="16.5" customHeight="1">
      <c r="A38" s="1"/>
      <c r="B38" s="1"/>
      <c r="C38" s="1"/>
      <c r="D38" s="1"/>
      <c r="E38" s="23"/>
    </row>
    <row r="39" spans="1:5" ht="16.5" customHeight="1">
      <c r="A39" s="1"/>
      <c r="B39" s="1"/>
      <c r="C39" s="1"/>
      <c r="D39" s="1"/>
      <c r="E39" s="23"/>
    </row>
    <row r="40" spans="1:5" ht="16.5" customHeight="1">
      <c r="A40" s="1"/>
      <c r="B40" s="1"/>
      <c r="C40" s="1"/>
      <c r="D40" s="1"/>
      <c r="E40" s="23"/>
    </row>
    <row r="41" spans="1:5" ht="16.5" customHeight="1">
      <c r="A41" s="1"/>
      <c r="B41" s="1"/>
      <c r="C41" s="1"/>
      <c r="D41" s="1"/>
      <c r="E41" s="23"/>
    </row>
    <row r="42" spans="1:5" ht="16.5" customHeight="1">
      <c r="A42" s="1"/>
      <c r="B42" s="1"/>
      <c r="C42" s="1"/>
      <c r="D42" s="1"/>
      <c r="E42" s="23"/>
    </row>
    <row r="43" spans="1:5" ht="16.5" customHeight="1">
      <c r="A43" s="1"/>
      <c r="B43" s="1"/>
      <c r="C43" s="1"/>
      <c r="D43" s="1"/>
      <c r="E43" s="23"/>
    </row>
    <row r="44" spans="1:5" ht="16.5" customHeight="1">
      <c r="A44" s="1"/>
      <c r="B44" s="1"/>
      <c r="C44" s="1"/>
      <c r="D44" s="1"/>
      <c r="E44" s="23"/>
    </row>
    <row r="45" spans="1:5" ht="16.5" customHeight="1">
      <c r="A45" s="1"/>
      <c r="B45" s="1"/>
      <c r="C45" s="1"/>
      <c r="D45" s="1"/>
      <c r="E45" s="23"/>
    </row>
    <row r="46" spans="1:5" ht="16.5" customHeight="1">
      <c r="A46" s="1"/>
      <c r="B46" s="1"/>
      <c r="C46" s="1"/>
      <c r="D46" s="1"/>
      <c r="E46" s="23"/>
    </row>
    <row r="47" spans="1:5" ht="16.5" customHeight="1">
      <c r="A47" s="1"/>
      <c r="B47" s="1"/>
      <c r="C47" s="1"/>
      <c r="D47" s="1"/>
      <c r="E47" s="23"/>
    </row>
    <row r="48" spans="1:5" ht="16.5" customHeight="1">
      <c r="A48" s="1"/>
      <c r="B48" s="1"/>
      <c r="C48" s="1"/>
      <c r="D48" s="1"/>
      <c r="E48" s="23"/>
    </row>
    <row r="49" spans="1:5" ht="16.5" customHeight="1">
      <c r="A49" s="1"/>
      <c r="B49" s="1"/>
      <c r="C49" s="1"/>
      <c r="D49" s="1"/>
      <c r="E49" s="23"/>
    </row>
    <row r="50" spans="1:5" ht="16.5" customHeight="1">
      <c r="A50" s="1"/>
      <c r="B50" s="1"/>
      <c r="C50" s="1"/>
      <c r="D50" s="1"/>
      <c r="E50" s="23"/>
    </row>
    <row r="51" spans="1:5" ht="16.5" customHeight="1">
      <c r="A51" s="1"/>
      <c r="B51" s="1"/>
      <c r="C51" s="1"/>
      <c r="D51" s="1"/>
      <c r="E51" s="23"/>
    </row>
    <row r="52" spans="1:5" ht="16.5" customHeight="1">
      <c r="A52" s="1"/>
      <c r="B52" s="1"/>
      <c r="C52" s="1"/>
      <c r="D52" s="1"/>
      <c r="E52" s="23"/>
    </row>
    <row r="53" spans="1:5" ht="16.5" customHeight="1">
      <c r="A53" s="1"/>
      <c r="B53" s="1"/>
      <c r="C53" s="1"/>
      <c r="D53" s="1"/>
      <c r="E53" s="23"/>
    </row>
    <row r="54" spans="1:5" ht="16.5" customHeight="1">
      <c r="A54" s="1"/>
      <c r="B54" s="1"/>
      <c r="C54" s="1"/>
      <c r="D54" s="1"/>
      <c r="E54" s="23"/>
    </row>
    <row r="55" spans="1:5" ht="16.5" customHeight="1">
      <c r="A55" s="1"/>
      <c r="B55" s="1"/>
      <c r="C55" s="1"/>
      <c r="D55" s="1"/>
      <c r="E55" s="23"/>
    </row>
    <row r="56" spans="1:5" ht="16.5" customHeight="1">
      <c r="A56" s="1"/>
      <c r="B56" s="1"/>
      <c r="C56" s="1"/>
      <c r="D56" s="1"/>
      <c r="E56" s="23"/>
    </row>
    <row r="57" spans="1:5" ht="16.5" customHeight="1">
      <c r="A57" s="1"/>
      <c r="B57" s="1"/>
      <c r="C57" s="1"/>
      <c r="D57" s="1"/>
      <c r="E57" s="23"/>
    </row>
    <row r="58" spans="1:5" ht="16.5" customHeight="1">
      <c r="A58" s="1"/>
      <c r="B58" s="1"/>
      <c r="C58" s="1"/>
      <c r="D58" s="1"/>
      <c r="E58" s="23"/>
    </row>
    <row r="59" spans="1:5" ht="16.5" customHeight="1">
      <c r="A59" s="1"/>
      <c r="B59" s="1"/>
      <c r="C59" s="1"/>
      <c r="D59" s="1"/>
      <c r="E59" s="23"/>
    </row>
    <row r="60" spans="1:5" ht="16.5" customHeight="1">
      <c r="A60" s="1"/>
      <c r="B60" s="1"/>
      <c r="C60" s="1"/>
      <c r="D60" s="1"/>
      <c r="E60" s="23"/>
    </row>
    <row r="61" spans="1:5" ht="16.5" customHeight="1">
      <c r="A61" s="1"/>
      <c r="B61" s="1"/>
      <c r="C61" s="1"/>
      <c r="D61" s="1"/>
      <c r="E61" s="23"/>
    </row>
    <row r="62" spans="1:5" ht="16.5" customHeight="1">
      <c r="A62" s="1"/>
      <c r="B62" s="1"/>
      <c r="C62" s="1"/>
      <c r="D62" s="1"/>
      <c r="E62" s="23"/>
    </row>
    <row r="63" spans="1:5" ht="16.5" customHeight="1">
      <c r="A63" s="1"/>
      <c r="B63" s="1"/>
      <c r="C63" s="1"/>
      <c r="D63" s="1"/>
      <c r="E63" s="23"/>
    </row>
    <row r="64" spans="1:5" ht="16.5" customHeight="1">
      <c r="A64" s="1"/>
      <c r="B64" s="1"/>
      <c r="C64" s="1"/>
      <c r="D64" s="1"/>
      <c r="E64" s="23"/>
    </row>
    <row r="65" spans="1:5" ht="16.5" customHeight="1">
      <c r="A65" s="1"/>
      <c r="B65" s="1"/>
      <c r="C65" s="1"/>
      <c r="D65" s="1"/>
      <c r="E65" s="23"/>
    </row>
    <row r="66" spans="1:5" ht="16.5" customHeight="1">
      <c r="A66" s="1"/>
      <c r="B66" s="1"/>
      <c r="C66" s="1"/>
      <c r="D66" s="1"/>
      <c r="E66" s="23"/>
    </row>
    <row r="67" spans="1:5" ht="16.5" customHeight="1">
      <c r="A67" s="1"/>
      <c r="B67" s="1"/>
      <c r="C67" s="1"/>
      <c r="D67" s="1"/>
      <c r="E67" s="23"/>
    </row>
    <row r="68" spans="1:5" ht="16.5" customHeight="1">
      <c r="A68" s="1"/>
      <c r="B68" s="1"/>
      <c r="C68" s="1"/>
      <c r="D68" s="1"/>
      <c r="E68" s="23"/>
    </row>
    <row r="69" spans="1:5" ht="16.5" customHeight="1">
      <c r="A69" s="1"/>
      <c r="B69" s="1"/>
      <c r="C69" s="1"/>
      <c r="D69" s="1"/>
      <c r="E69" s="23"/>
    </row>
    <row r="70" spans="1:5" ht="16.5" customHeight="1">
      <c r="A70" s="1"/>
      <c r="B70" s="1"/>
      <c r="C70" s="1"/>
      <c r="D70" s="1"/>
      <c r="E70" s="23"/>
    </row>
    <row r="71" spans="1:5" ht="16.5" customHeight="1">
      <c r="A71" s="1"/>
      <c r="B71" s="1"/>
      <c r="C71" s="1"/>
      <c r="D71" s="1"/>
      <c r="E71" s="23"/>
    </row>
    <row r="72" spans="1:5" ht="16.5" customHeight="1">
      <c r="A72" s="1"/>
      <c r="B72" s="1"/>
      <c r="C72" s="1"/>
      <c r="D72" s="1"/>
      <c r="E72" s="23"/>
    </row>
    <row r="73" spans="1:5" ht="16.5" customHeight="1">
      <c r="A73" s="1"/>
      <c r="B73" s="1"/>
      <c r="C73" s="1"/>
      <c r="D73" s="1"/>
      <c r="E73" s="23"/>
    </row>
    <row r="74" spans="1:5" ht="16.5" customHeight="1">
      <c r="A74" s="1"/>
      <c r="B74" s="1"/>
      <c r="C74" s="1"/>
      <c r="D74" s="1"/>
      <c r="E74" s="23"/>
    </row>
    <row r="75" spans="1:5" ht="16.5" customHeight="1">
      <c r="A75" s="1"/>
      <c r="B75" s="1"/>
      <c r="C75" s="1"/>
      <c r="D75" s="1"/>
      <c r="E75" s="23"/>
    </row>
    <row r="76" spans="1:5" ht="16.5" customHeight="1">
      <c r="A76" s="1"/>
      <c r="B76" s="1"/>
      <c r="C76" s="1"/>
      <c r="D76" s="1"/>
      <c r="E76" s="23"/>
    </row>
    <row r="77" spans="1:5" ht="16.5" customHeight="1">
      <c r="A77" s="1"/>
      <c r="B77" s="1"/>
      <c r="C77" s="1"/>
      <c r="D77" s="1"/>
      <c r="E77" s="23"/>
    </row>
    <row r="78" spans="1:5" ht="16.5" customHeight="1">
      <c r="A78" s="1"/>
      <c r="B78" s="1"/>
      <c r="C78" s="1"/>
      <c r="D78" s="1"/>
      <c r="E78" s="23"/>
    </row>
    <row r="79" spans="1:5" ht="16.5" customHeight="1">
      <c r="A79" s="1"/>
      <c r="B79" s="1"/>
      <c r="C79" s="1"/>
      <c r="D79" s="1"/>
      <c r="E79" s="23"/>
    </row>
    <row r="80" spans="1:5" ht="16.5" customHeight="1">
      <c r="A80" s="1"/>
      <c r="B80" s="1"/>
      <c r="C80" s="1"/>
      <c r="D80" s="1"/>
      <c r="E80" s="23"/>
    </row>
    <row r="81" spans="1:5" ht="16.5" customHeight="1">
      <c r="A81" s="1"/>
      <c r="B81" s="1"/>
      <c r="C81" s="1"/>
      <c r="D81" s="1"/>
      <c r="E81" s="23"/>
    </row>
    <row r="82" spans="1:5" ht="16.5" customHeight="1">
      <c r="A82" s="1"/>
      <c r="B82" s="1"/>
      <c r="C82" s="1"/>
      <c r="D82" s="1"/>
      <c r="E82" s="23"/>
    </row>
    <row r="83" spans="1:5" ht="16.5" customHeight="1">
      <c r="A83" s="1"/>
      <c r="B83" s="1"/>
      <c r="C83" s="1"/>
      <c r="D83" s="1"/>
      <c r="E83" s="23"/>
    </row>
    <row r="84" spans="1:5" ht="16.5" customHeight="1">
      <c r="A84" s="1"/>
      <c r="B84" s="1"/>
      <c r="C84" s="1"/>
      <c r="D84" s="1"/>
      <c r="E84" s="23"/>
    </row>
    <row r="85" spans="1:5" ht="16.5" customHeight="1">
      <c r="A85" s="1"/>
      <c r="B85" s="1"/>
      <c r="C85" s="1"/>
      <c r="D85" s="1"/>
      <c r="E85" s="23"/>
    </row>
    <row r="86" spans="1:5" ht="16.5" customHeight="1">
      <c r="A86" s="1"/>
      <c r="B86" s="1"/>
      <c r="C86" s="1"/>
      <c r="D86" s="1"/>
      <c r="E86" s="23"/>
    </row>
    <row r="87" spans="1:5" ht="16.5" customHeight="1">
      <c r="A87" s="1"/>
      <c r="B87" s="1"/>
      <c r="C87" s="1"/>
      <c r="D87" s="1"/>
      <c r="E87" s="23"/>
    </row>
    <row r="88" spans="1:5" ht="16.5" customHeight="1">
      <c r="A88" s="1"/>
      <c r="B88" s="1"/>
      <c r="C88" s="1"/>
      <c r="D88" s="1"/>
      <c r="E88" s="23"/>
    </row>
    <row r="89" spans="1:5" ht="16.5" customHeight="1">
      <c r="A89" s="1"/>
      <c r="B89" s="1"/>
      <c r="C89" s="1"/>
      <c r="D89" s="1"/>
      <c r="E89" s="23"/>
    </row>
    <row r="90" spans="1:5" ht="16.5" customHeight="1">
      <c r="A90" s="1"/>
      <c r="B90" s="1"/>
      <c r="C90" s="1"/>
      <c r="D90" s="1"/>
      <c r="E90" s="23"/>
    </row>
    <row r="91" spans="1:5" ht="16.5" customHeight="1">
      <c r="A91" s="1"/>
      <c r="B91" s="1"/>
      <c r="C91" s="1"/>
      <c r="D91" s="1"/>
      <c r="E91" s="23"/>
    </row>
    <row r="92" spans="1:5" ht="16.5" customHeight="1">
      <c r="A92" s="1"/>
      <c r="B92" s="1"/>
      <c r="C92" s="1"/>
      <c r="D92" s="1"/>
      <c r="E92" s="23"/>
    </row>
    <row r="93" spans="1:5" ht="16.5" customHeight="1">
      <c r="A93" s="1"/>
      <c r="B93" s="1"/>
      <c r="C93" s="1"/>
      <c r="D93" s="1"/>
      <c r="E93" s="23"/>
    </row>
    <row r="94" spans="1:5" ht="16.5" customHeight="1">
      <c r="A94" s="1"/>
      <c r="B94" s="1"/>
      <c r="C94" s="1"/>
      <c r="D94" s="1"/>
      <c r="E94" s="23"/>
    </row>
    <row r="95" spans="1:5" ht="16.5" customHeight="1">
      <c r="A95" s="1"/>
      <c r="B95" s="1"/>
      <c r="C95" s="1"/>
      <c r="D95" s="1"/>
      <c r="E95" s="23"/>
    </row>
    <row r="96" spans="1:5" ht="16.5" customHeight="1">
      <c r="A96" s="1"/>
      <c r="B96" s="1"/>
      <c r="C96" s="1"/>
      <c r="D96" s="1"/>
      <c r="E96" s="23"/>
    </row>
    <row r="97" spans="1:5" ht="16.5" customHeight="1">
      <c r="A97" s="1"/>
      <c r="B97" s="1"/>
      <c r="C97" s="1"/>
      <c r="D97" s="1"/>
      <c r="E97" s="23"/>
    </row>
    <row r="98" spans="1:5" ht="16.5" customHeight="1">
      <c r="A98" s="1"/>
      <c r="B98" s="1"/>
      <c r="C98" s="1"/>
      <c r="D98" s="1"/>
      <c r="E98" s="23"/>
    </row>
    <row r="99" spans="1:5" ht="16.5" customHeight="1">
      <c r="A99" s="1"/>
      <c r="B99" s="1"/>
      <c r="C99" s="1"/>
      <c r="D99" s="1"/>
      <c r="E99" s="23"/>
    </row>
    <row r="100" spans="1:5" ht="16.5" customHeight="1">
      <c r="A100" s="1"/>
      <c r="B100" s="1"/>
      <c r="C100" s="1"/>
      <c r="D100" s="1"/>
      <c r="E100" s="23"/>
    </row>
    <row r="101" spans="1:5" ht="16.5" customHeight="1">
      <c r="A101" s="1"/>
      <c r="B101" s="1"/>
      <c r="C101" s="1"/>
      <c r="D101" s="1"/>
      <c r="E101" s="23"/>
    </row>
    <row r="102" spans="1:5" ht="16.5" customHeight="1">
      <c r="A102" s="1"/>
      <c r="B102" s="1"/>
      <c r="C102" s="1"/>
      <c r="D102" s="1"/>
      <c r="E102" s="23"/>
    </row>
    <row r="103" spans="1:5" ht="16.5" customHeight="1">
      <c r="A103" s="1"/>
      <c r="B103" s="1"/>
      <c r="C103" s="1"/>
      <c r="D103" s="1"/>
      <c r="E103" s="23"/>
    </row>
    <row r="104" spans="1:5" ht="16.5" customHeight="1">
      <c r="A104" s="1"/>
      <c r="B104" s="1"/>
      <c r="C104" s="1"/>
      <c r="D104" s="1"/>
      <c r="E104" s="23"/>
    </row>
    <row r="105" spans="1:5" ht="16.5" customHeight="1">
      <c r="A105" s="1"/>
      <c r="B105" s="1"/>
      <c r="C105" s="1"/>
      <c r="D105" s="1"/>
      <c r="E105" s="23"/>
    </row>
    <row r="106" spans="1:5" ht="16.5" customHeight="1">
      <c r="A106" s="1"/>
      <c r="B106" s="1"/>
      <c r="C106" s="1"/>
      <c r="D106" s="1"/>
      <c r="E106" s="23"/>
    </row>
    <row r="107" spans="1:5" ht="16.5" customHeight="1">
      <c r="A107" s="1"/>
      <c r="B107" s="1"/>
      <c r="C107" s="1"/>
      <c r="D107" s="1"/>
      <c r="E107" s="23"/>
    </row>
    <row r="108" spans="1:5" ht="16.5" customHeight="1">
      <c r="A108" s="1"/>
      <c r="B108" s="1"/>
      <c r="C108" s="1"/>
      <c r="D108" s="1"/>
      <c r="E108" s="23"/>
    </row>
    <row r="109" spans="1:5" ht="16.5" customHeight="1">
      <c r="A109" s="1"/>
      <c r="B109" s="1"/>
      <c r="C109" s="1"/>
      <c r="D109" s="1"/>
      <c r="E109" s="23"/>
    </row>
    <row r="110" spans="1:5" ht="16.5" customHeight="1">
      <c r="A110" s="1"/>
      <c r="B110" s="1"/>
      <c r="C110" s="1"/>
      <c r="D110" s="1"/>
      <c r="E110" s="23"/>
    </row>
    <row r="111" spans="1:5" ht="16.5" customHeight="1">
      <c r="A111" s="1"/>
      <c r="B111" s="1"/>
      <c r="C111" s="1"/>
      <c r="D111" s="1"/>
      <c r="E111" s="23"/>
    </row>
    <row r="112" spans="1:5" ht="16.5" customHeight="1">
      <c r="A112" s="1"/>
      <c r="B112" s="1"/>
      <c r="C112" s="1"/>
      <c r="D112" s="1"/>
      <c r="E112" s="23"/>
    </row>
    <row r="113" spans="1:5" ht="16.5" customHeight="1">
      <c r="A113" s="1"/>
      <c r="B113" s="1"/>
      <c r="C113" s="1"/>
      <c r="D113" s="1"/>
      <c r="E113" s="23"/>
    </row>
    <row r="114" spans="1:5" ht="16.5" customHeight="1">
      <c r="A114" s="1"/>
      <c r="B114" s="1"/>
      <c r="C114" s="1"/>
      <c r="D114" s="1"/>
      <c r="E114" s="23"/>
    </row>
    <row r="115" spans="1:5" ht="16.5" customHeight="1">
      <c r="A115" s="1"/>
      <c r="B115" s="1"/>
      <c r="C115" s="1"/>
      <c r="D115" s="1"/>
      <c r="E115" s="23"/>
    </row>
    <row r="116" spans="1:5" ht="16.5" customHeight="1">
      <c r="A116" s="1"/>
      <c r="B116" s="1"/>
      <c r="C116" s="1"/>
      <c r="D116" s="1"/>
      <c r="E116" s="23"/>
    </row>
    <row r="117" spans="1:5" ht="16.5" customHeight="1">
      <c r="A117" s="1"/>
      <c r="B117" s="1"/>
      <c r="C117" s="1"/>
      <c r="D117" s="1"/>
      <c r="E117" s="23"/>
    </row>
    <row r="118" spans="1:5" ht="16.5" customHeight="1">
      <c r="A118" s="1"/>
      <c r="B118" s="1"/>
      <c r="C118" s="1"/>
      <c r="D118" s="1"/>
      <c r="E118" s="23"/>
    </row>
    <row r="119" spans="1:5" ht="16.5" customHeight="1">
      <c r="A119" s="1"/>
      <c r="B119" s="1"/>
      <c r="C119" s="1"/>
      <c r="D119" s="1"/>
      <c r="E119" s="23"/>
    </row>
    <row r="120" spans="1:5" ht="16.5" customHeight="1">
      <c r="A120" s="1"/>
      <c r="B120" s="1"/>
      <c r="C120" s="1"/>
      <c r="D120" s="1"/>
      <c r="E120" s="23"/>
    </row>
    <row r="121" spans="1:5" ht="16.5" customHeight="1">
      <c r="A121" s="1"/>
      <c r="B121" s="1"/>
      <c r="C121" s="1"/>
      <c r="D121" s="1"/>
      <c r="E121" s="23"/>
    </row>
    <row r="122" spans="1:5" ht="16.5" customHeight="1">
      <c r="A122" s="1"/>
      <c r="B122" s="1"/>
      <c r="C122" s="1"/>
      <c r="D122" s="1"/>
      <c r="E122" s="23"/>
    </row>
    <row r="123" spans="1:5" ht="16.5" customHeight="1">
      <c r="A123" s="1"/>
      <c r="B123" s="1"/>
      <c r="C123" s="1"/>
      <c r="D123" s="1"/>
      <c r="E123" s="23"/>
    </row>
    <row r="124" spans="1:5" ht="16.5" customHeight="1">
      <c r="A124" s="1"/>
      <c r="B124" s="1"/>
      <c r="C124" s="1"/>
      <c r="D124" s="1"/>
      <c r="E124" s="23"/>
    </row>
    <row r="125" spans="1:5" ht="16.5" customHeight="1">
      <c r="A125" s="1"/>
      <c r="B125" s="1"/>
      <c r="C125" s="1"/>
      <c r="D125" s="1"/>
      <c r="E125" s="23"/>
    </row>
    <row r="126" spans="1:5" ht="16.5" customHeight="1">
      <c r="A126" s="1"/>
      <c r="B126" s="1"/>
      <c r="C126" s="1"/>
      <c r="D126" s="1"/>
      <c r="E126" s="23"/>
    </row>
    <row r="127" spans="1:5" ht="16.5" customHeight="1">
      <c r="A127" s="1"/>
      <c r="B127" s="1"/>
      <c r="C127" s="1"/>
      <c r="D127" s="1"/>
      <c r="E127" s="23"/>
    </row>
    <row r="128" spans="1:5" ht="16.5" customHeight="1">
      <c r="A128" s="1"/>
      <c r="B128" s="1"/>
      <c r="C128" s="1"/>
      <c r="D128" s="1"/>
      <c r="E128" s="23"/>
    </row>
    <row r="129" spans="1:5" ht="16.5" customHeight="1">
      <c r="A129" s="1"/>
      <c r="B129" s="1"/>
      <c r="C129" s="1"/>
      <c r="D129" s="1"/>
      <c r="E129" s="23"/>
    </row>
    <row r="130" spans="1:5" ht="16.5" customHeight="1">
      <c r="A130" s="1"/>
      <c r="B130" s="1"/>
      <c r="C130" s="1"/>
      <c r="D130" s="1"/>
      <c r="E130" s="23"/>
    </row>
    <row r="131" spans="1:5" ht="16.5" customHeight="1">
      <c r="A131" s="1"/>
      <c r="B131" s="1"/>
      <c r="C131" s="1"/>
      <c r="D131" s="1"/>
      <c r="E131" s="23"/>
    </row>
    <row r="132" spans="1:5" ht="16.5" customHeight="1">
      <c r="A132" s="1"/>
      <c r="B132" s="1"/>
      <c r="C132" s="1"/>
      <c r="D132" s="1"/>
      <c r="E132" s="23"/>
    </row>
    <row r="133" spans="1:5" ht="16.5" customHeight="1">
      <c r="A133" s="1"/>
      <c r="B133" s="1"/>
      <c r="C133" s="1"/>
      <c r="D133" s="1"/>
      <c r="E133" s="23"/>
    </row>
    <row r="134" spans="1:5" ht="16.5" customHeight="1">
      <c r="A134" s="1"/>
      <c r="B134" s="1"/>
      <c r="C134" s="1"/>
      <c r="D134" s="1"/>
      <c r="E134" s="23"/>
    </row>
    <row r="135" spans="1:5" ht="16.5" customHeight="1">
      <c r="A135" s="1"/>
      <c r="B135" s="1"/>
      <c r="C135" s="1"/>
      <c r="D135" s="1"/>
      <c r="E135" s="23"/>
    </row>
    <row r="136" spans="1:5" ht="16.5" customHeight="1">
      <c r="A136" s="1"/>
      <c r="B136" s="1"/>
      <c r="C136" s="1"/>
      <c r="D136" s="1"/>
      <c r="E136" s="23"/>
    </row>
    <row r="137" spans="1:5" ht="16.5" customHeight="1">
      <c r="A137" s="1"/>
      <c r="B137" s="1"/>
      <c r="C137" s="1"/>
      <c r="D137" s="1"/>
      <c r="E137" s="23"/>
    </row>
    <row r="138" spans="1:5" ht="16.5" customHeight="1">
      <c r="A138" s="1"/>
      <c r="B138" s="1"/>
      <c r="C138" s="1"/>
      <c r="D138" s="1"/>
      <c r="E138" s="23"/>
    </row>
    <row r="139" spans="1:5" ht="16.5" customHeight="1">
      <c r="A139" s="1"/>
      <c r="B139" s="1"/>
      <c r="C139" s="1"/>
      <c r="D139" s="1"/>
      <c r="E139" s="23"/>
    </row>
    <row r="140" spans="1:5" ht="16.5" customHeight="1">
      <c r="A140" s="1"/>
      <c r="B140" s="1"/>
      <c r="C140" s="1"/>
      <c r="D140" s="1"/>
      <c r="E140" s="23"/>
    </row>
    <row r="141" spans="1:5" ht="16.5" customHeight="1">
      <c r="A141" s="1"/>
      <c r="B141" s="1"/>
      <c r="C141" s="1"/>
      <c r="D141" s="1"/>
      <c r="E141" s="23"/>
    </row>
    <row r="142" spans="1:5" ht="16.5" customHeight="1">
      <c r="A142" s="1"/>
      <c r="B142" s="1"/>
      <c r="C142" s="1"/>
      <c r="D142" s="1"/>
      <c r="E142" s="23"/>
    </row>
    <row r="143" spans="1:5" ht="16.5" customHeight="1">
      <c r="A143" s="1"/>
      <c r="B143" s="1"/>
      <c r="C143" s="1"/>
      <c r="D143" s="1"/>
      <c r="E143" s="23"/>
    </row>
    <row r="144" spans="1:5" ht="16.5" customHeight="1">
      <c r="A144" s="1"/>
      <c r="B144" s="1"/>
      <c r="C144" s="1"/>
      <c r="D144" s="1"/>
      <c r="E144" s="23"/>
    </row>
    <row r="145" spans="1:5" ht="16.5" customHeight="1">
      <c r="A145" s="1"/>
      <c r="B145" s="1"/>
      <c r="C145" s="1"/>
      <c r="D145" s="1"/>
      <c r="E145" s="23"/>
    </row>
    <row r="146" spans="1:5" ht="16.5" customHeight="1">
      <c r="A146" s="1"/>
      <c r="B146" s="1"/>
      <c r="C146" s="1"/>
      <c r="D146" s="1"/>
      <c r="E146" s="23"/>
    </row>
    <row r="147" spans="1:5" ht="16.5" customHeight="1">
      <c r="A147" s="1"/>
      <c r="B147" s="1"/>
      <c r="C147" s="1"/>
      <c r="D147" s="1"/>
      <c r="E147" s="23"/>
    </row>
    <row r="148" spans="1:5" ht="16.5" customHeight="1">
      <c r="A148" s="1"/>
      <c r="B148" s="1"/>
      <c r="C148" s="1"/>
      <c r="D148" s="1"/>
      <c r="E148" s="23"/>
    </row>
    <row r="149" spans="1:5" ht="16.5" customHeight="1">
      <c r="A149" s="1"/>
      <c r="B149" s="1"/>
      <c r="C149" s="1"/>
      <c r="D149" s="1"/>
      <c r="E149" s="23"/>
    </row>
    <row r="150" spans="1:5" ht="16.5" customHeight="1">
      <c r="A150" s="1"/>
      <c r="B150" s="1"/>
      <c r="C150" s="1"/>
      <c r="D150" s="1"/>
      <c r="E150" s="23"/>
    </row>
    <row r="151" spans="1:5" ht="16.5" customHeight="1">
      <c r="A151" s="1"/>
      <c r="B151" s="1"/>
      <c r="C151" s="1"/>
      <c r="D151" s="1"/>
      <c r="E151" s="23"/>
    </row>
    <row r="152" spans="1:5" ht="16.5" customHeight="1">
      <c r="A152" s="1"/>
      <c r="B152" s="1"/>
      <c r="C152" s="1"/>
      <c r="D152" s="1"/>
      <c r="E152" s="23"/>
    </row>
    <row r="153" spans="1:5" ht="16.5" customHeight="1">
      <c r="A153" s="1"/>
      <c r="B153" s="1"/>
      <c r="C153" s="1"/>
      <c r="D153" s="1"/>
      <c r="E153" s="23"/>
    </row>
    <row r="154" spans="1:5" ht="16.5" customHeight="1">
      <c r="A154" s="1"/>
      <c r="B154" s="1"/>
      <c r="C154" s="1"/>
      <c r="D154" s="1"/>
      <c r="E154" s="23"/>
    </row>
    <row r="155" spans="1:5" ht="16.5" customHeight="1">
      <c r="A155" s="1"/>
      <c r="B155" s="1"/>
      <c r="C155" s="1"/>
      <c r="D155" s="1"/>
      <c r="E155" s="23"/>
    </row>
    <row r="156" spans="1:5" ht="16.5" customHeight="1">
      <c r="A156" s="1"/>
      <c r="B156" s="1"/>
      <c r="C156" s="1"/>
      <c r="D156" s="1"/>
      <c r="E156" s="23"/>
    </row>
    <row r="157" spans="1:5" ht="16.5" customHeight="1">
      <c r="A157" s="1"/>
      <c r="B157" s="1"/>
      <c r="C157" s="1"/>
      <c r="D157" s="1"/>
      <c r="E157" s="23"/>
    </row>
    <row r="158" spans="1:5" ht="16.5" customHeight="1">
      <c r="A158" s="1"/>
      <c r="B158" s="1"/>
      <c r="C158" s="1"/>
      <c r="D158" s="1"/>
      <c r="E158" s="23"/>
    </row>
    <row r="159" spans="1:5" ht="16.5" customHeight="1">
      <c r="A159" s="1"/>
      <c r="B159" s="1"/>
      <c r="C159" s="1"/>
      <c r="D159" s="1"/>
      <c r="E159" s="23"/>
    </row>
    <row r="160" spans="1:5" ht="16.5" customHeight="1">
      <c r="A160" s="1"/>
      <c r="B160" s="1"/>
      <c r="C160" s="1"/>
      <c r="D160" s="1"/>
      <c r="E160" s="23"/>
    </row>
    <row r="161" spans="1:5" ht="16.5" customHeight="1">
      <c r="A161" s="1"/>
      <c r="B161" s="1"/>
      <c r="C161" s="1"/>
      <c r="D161" s="1"/>
      <c r="E161" s="23"/>
    </row>
    <row r="162" spans="1:5" ht="16.5" customHeight="1">
      <c r="A162" s="1"/>
      <c r="B162" s="1"/>
      <c r="C162" s="1"/>
      <c r="D162" s="1"/>
      <c r="E162" s="23"/>
    </row>
    <row r="163" spans="1:5" ht="16.5" customHeight="1">
      <c r="A163" s="1"/>
      <c r="B163" s="1"/>
      <c r="C163" s="1"/>
      <c r="D163" s="1"/>
      <c r="E163" s="23"/>
    </row>
    <row r="164" spans="1:5" ht="16.5" customHeight="1">
      <c r="A164" s="1"/>
      <c r="B164" s="1"/>
      <c r="C164" s="1"/>
      <c r="D164" s="1"/>
      <c r="E164" s="23"/>
    </row>
    <row r="165" spans="1:5" ht="16.5" customHeight="1">
      <c r="A165" s="1"/>
      <c r="B165" s="1"/>
      <c r="C165" s="1"/>
      <c r="D165" s="1"/>
      <c r="E165" s="23"/>
    </row>
    <row r="166" spans="1:5" ht="16.5" customHeight="1">
      <c r="A166" s="1"/>
      <c r="B166" s="1"/>
      <c r="C166" s="1"/>
      <c r="D166" s="1"/>
      <c r="E166" s="23"/>
    </row>
    <row r="167" spans="1:5" ht="16.5" customHeight="1">
      <c r="A167" s="1"/>
      <c r="B167" s="1"/>
      <c r="C167" s="1"/>
      <c r="D167" s="1"/>
      <c r="E167" s="23"/>
    </row>
    <row r="168" spans="1:5" ht="16.5" customHeight="1">
      <c r="A168" s="1"/>
      <c r="B168" s="1"/>
      <c r="C168" s="1"/>
      <c r="D168" s="1"/>
      <c r="E168" s="23"/>
    </row>
    <row r="169" spans="1:5" ht="16.5" customHeight="1">
      <c r="A169" s="1"/>
      <c r="B169" s="1"/>
      <c r="C169" s="1"/>
      <c r="D169" s="1"/>
      <c r="E169" s="23"/>
    </row>
    <row r="170" spans="1:5" ht="16.5" customHeight="1">
      <c r="A170" s="1"/>
      <c r="B170" s="1"/>
      <c r="C170" s="1"/>
      <c r="D170" s="1"/>
      <c r="E170" s="23"/>
    </row>
    <row r="171" spans="1:5" ht="16.5" customHeight="1">
      <c r="A171" s="1"/>
      <c r="B171" s="1"/>
      <c r="C171" s="1"/>
      <c r="D171" s="1"/>
      <c r="E171" s="23"/>
    </row>
    <row r="172" spans="1:5" ht="16.5" customHeight="1">
      <c r="A172" s="1"/>
      <c r="B172" s="1"/>
      <c r="C172" s="1"/>
      <c r="D172" s="1"/>
      <c r="E172" s="23"/>
    </row>
    <row r="173" spans="1:5" ht="16.5" customHeight="1">
      <c r="A173" s="1"/>
      <c r="B173" s="1"/>
      <c r="C173" s="1"/>
      <c r="D173" s="1"/>
      <c r="E173" s="23"/>
    </row>
    <row r="174" spans="1:5" ht="16.5" customHeight="1">
      <c r="A174" s="1"/>
      <c r="B174" s="1"/>
      <c r="C174" s="1"/>
      <c r="D174" s="1"/>
      <c r="E174" s="23"/>
    </row>
    <row r="175" spans="1:5" ht="16.5" customHeight="1">
      <c r="A175" s="1"/>
      <c r="B175" s="1"/>
      <c r="C175" s="1"/>
      <c r="D175" s="1"/>
      <c r="E175" s="23"/>
    </row>
    <row r="176" spans="1:5" ht="16.5" customHeight="1">
      <c r="A176" s="1"/>
      <c r="B176" s="1"/>
      <c r="C176" s="1"/>
      <c r="D176" s="1"/>
      <c r="E176" s="23"/>
    </row>
    <row r="177" spans="1:5" ht="16.5" customHeight="1">
      <c r="A177" s="1"/>
      <c r="B177" s="1"/>
      <c r="C177" s="1"/>
      <c r="D177" s="1"/>
      <c r="E177" s="23"/>
    </row>
    <row r="178" spans="1:5" ht="16.5" customHeight="1">
      <c r="A178" s="1"/>
      <c r="B178" s="1"/>
      <c r="C178" s="1"/>
      <c r="D178" s="1"/>
      <c r="E178" s="23"/>
    </row>
    <row r="179" spans="1:5" ht="16.5" customHeight="1">
      <c r="A179" s="1"/>
      <c r="B179" s="1"/>
      <c r="C179" s="1"/>
      <c r="D179" s="1"/>
      <c r="E179" s="23"/>
    </row>
    <row r="180" spans="1:5" ht="16.5" customHeight="1">
      <c r="A180" s="1"/>
      <c r="B180" s="1"/>
      <c r="C180" s="1"/>
      <c r="D180" s="1"/>
      <c r="E180" s="23"/>
    </row>
    <row r="181" spans="1:5" ht="16.5" customHeight="1">
      <c r="A181" s="1"/>
      <c r="B181" s="1"/>
      <c r="C181" s="1"/>
      <c r="D181" s="1"/>
      <c r="E181" s="23"/>
    </row>
    <row r="182" spans="1:5" ht="16.5" customHeight="1">
      <c r="A182" s="1"/>
      <c r="B182" s="1"/>
      <c r="C182" s="1"/>
      <c r="D182" s="1"/>
      <c r="E182" s="23"/>
    </row>
    <row r="183" spans="1:5" ht="16.5" customHeight="1">
      <c r="A183" s="1"/>
      <c r="B183" s="1"/>
      <c r="C183" s="1"/>
      <c r="D183" s="1"/>
      <c r="E183" s="23"/>
    </row>
    <row r="184" spans="1:5" ht="16.5" customHeight="1">
      <c r="A184" s="1"/>
      <c r="B184" s="1"/>
      <c r="C184" s="1"/>
      <c r="D184" s="1"/>
      <c r="E184" s="23"/>
    </row>
    <row r="185" spans="1:5" ht="16.5" customHeight="1">
      <c r="A185" s="1"/>
      <c r="B185" s="1"/>
      <c r="C185" s="1"/>
      <c r="D185" s="1"/>
      <c r="E185" s="23"/>
    </row>
    <row r="186" spans="1:5" ht="16.5" customHeight="1">
      <c r="A186" s="1"/>
      <c r="B186" s="1"/>
      <c r="C186" s="1"/>
      <c r="D186" s="1"/>
      <c r="E186" s="23"/>
    </row>
    <row r="187" spans="1:5" ht="16.5" customHeight="1">
      <c r="A187" s="1"/>
      <c r="B187" s="1"/>
      <c r="C187" s="1"/>
      <c r="D187" s="1"/>
      <c r="E187" s="23"/>
    </row>
    <row r="188" spans="1:5" ht="16.5" customHeight="1">
      <c r="A188" s="1"/>
      <c r="B188" s="1"/>
      <c r="C188" s="1"/>
      <c r="D188" s="1"/>
      <c r="E188" s="23"/>
    </row>
    <row r="189" spans="1:5" ht="16.5" customHeight="1">
      <c r="A189" s="1"/>
      <c r="B189" s="1"/>
      <c r="C189" s="1"/>
      <c r="D189" s="1"/>
      <c r="E189" s="23"/>
    </row>
    <row r="190" spans="1:5" ht="16.5" customHeight="1">
      <c r="A190" s="1"/>
      <c r="B190" s="1"/>
      <c r="C190" s="1"/>
      <c r="D190" s="1"/>
      <c r="E190" s="23"/>
    </row>
    <row r="191" spans="1:5" ht="16.5" customHeight="1">
      <c r="A191" s="1"/>
      <c r="B191" s="1"/>
      <c r="C191" s="1"/>
      <c r="D191" s="1"/>
      <c r="E191" s="23"/>
    </row>
    <row r="192" spans="1:5" ht="16.5" customHeight="1">
      <c r="A192" s="1"/>
      <c r="B192" s="1"/>
      <c r="C192" s="1"/>
      <c r="D192" s="1"/>
      <c r="E192" s="23"/>
    </row>
    <row r="193" spans="1:5" ht="16.5" customHeight="1">
      <c r="A193" s="1"/>
      <c r="B193" s="1"/>
      <c r="C193" s="1"/>
      <c r="D193" s="1"/>
      <c r="E193" s="23"/>
    </row>
    <row r="194" spans="1:5" ht="16.5" customHeight="1">
      <c r="A194" s="1"/>
      <c r="B194" s="1"/>
      <c r="C194" s="1"/>
      <c r="D194" s="1"/>
      <c r="E194" s="23"/>
    </row>
    <row r="195" spans="1:5" ht="16.5" customHeight="1">
      <c r="A195" s="1"/>
      <c r="B195" s="1"/>
      <c r="C195" s="1"/>
      <c r="D195" s="1"/>
      <c r="E195" s="23"/>
    </row>
    <row r="196" spans="1:5" ht="16.5" customHeight="1">
      <c r="A196" s="1"/>
      <c r="B196" s="1"/>
      <c r="C196" s="1"/>
      <c r="D196" s="1"/>
      <c r="E196" s="23"/>
    </row>
    <row r="197" spans="1:5" ht="16.5" customHeight="1">
      <c r="A197" s="1"/>
      <c r="B197" s="1"/>
      <c r="C197" s="1"/>
      <c r="D197" s="1"/>
      <c r="E197" s="23"/>
    </row>
    <row r="198" spans="1:5" ht="16.5" customHeight="1">
      <c r="A198" s="1"/>
      <c r="B198" s="1"/>
      <c r="C198" s="1"/>
      <c r="D198" s="1"/>
      <c r="E198" s="23"/>
    </row>
    <row r="199" spans="1:5" ht="16.5" customHeight="1">
      <c r="A199" s="1"/>
      <c r="B199" s="1"/>
      <c r="C199" s="1"/>
      <c r="D199" s="1"/>
      <c r="E199" s="23"/>
    </row>
    <row r="200" spans="1:5" ht="16.5" customHeight="1">
      <c r="A200" s="1"/>
      <c r="B200" s="1"/>
      <c r="C200" s="1"/>
      <c r="D200" s="1"/>
      <c r="E200" s="23"/>
    </row>
    <row r="201" spans="1:5" ht="16.5" customHeight="1">
      <c r="A201" s="1"/>
      <c r="B201" s="1"/>
      <c r="C201" s="1"/>
      <c r="D201" s="1"/>
      <c r="E201" s="23"/>
    </row>
    <row r="202" spans="1:5" ht="16.5" customHeight="1">
      <c r="A202" s="1"/>
      <c r="B202" s="1"/>
      <c r="C202" s="1"/>
      <c r="D202" s="1"/>
      <c r="E202" s="23"/>
    </row>
    <row r="203" spans="1:5" ht="16.5" customHeight="1">
      <c r="A203" s="1"/>
      <c r="B203" s="1"/>
      <c r="C203" s="1"/>
      <c r="D203" s="1"/>
      <c r="E203" s="23"/>
    </row>
    <row r="204" spans="1:5" ht="16.5" customHeight="1">
      <c r="A204" s="1"/>
      <c r="B204" s="1"/>
      <c r="C204" s="1"/>
      <c r="D204" s="1"/>
      <c r="E204" s="23"/>
    </row>
    <row r="205" spans="1:5" ht="16.5" customHeight="1">
      <c r="A205" s="1"/>
      <c r="B205" s="1"/>
      <c r="C205" s="1"/>
      <c r="D205" s="1"/>
      <c r="E205" s="23"/>
    </row>
    <row r="206" spans="1:5" ht="16.5" customHeight="1">
      <c r="A206" s="1"/>
      <c r="B206" s="1"/>
      <c r="C206" s="1"/>
      <c r="D206" s="1"/>
      <c r="E206" s="23"/>
    </row>
    <row r="207" spans="1:5" ht="16.5" customHeight="1">
      <c r="A207" s="1"/>
      <c r="B207" s="1"/>
      <c r="C207" s="1"/>
      <c r="D207" s="1"/>
      <c r="E207" s="23"/>
    </row>
    <row r="208" spans="1:5" ht="16.5" customHeight="1">
      <c r="A208" s="1"/>
      <c r="B208" s="1"/>
      <c r="C208" s="1"/>
      <c r="D208" s="1"/>
      <c r="E208" s="23"/>
    </row>
    <row r="209" spans="1:5" ht="16.5" customHeight="1">
      <c r="A209" s="1"/>
      <c r="B209" s="1"/>
      <c r="C209" s="1"/>
      <c r="D209" s="1"/>
      <c r="E209" s="23"/>
    </row>
    <row r="210" spans="1:5" ht="16.5" customHeight="1">
      <c r="A210" s="1"/>
      <c r="B210" s="1"/>
      <c r="C210" s="1"/>
      <c r="D210" s="1"/>
      <c r="E210" s="23"/>
    </row>
    <row r="211" spans="1:5" ht="16.5" customHeight="1">
      <c r="A211" s="1"/>
      <c r="B211" s="1"/>
      <c r="C211" s="1"/>
      <c r="D211" s="1"/>
      <c r="E211" s="23"/>
    </row>
    <row r="212" spans="1:5" ht="16.5" customHeight="1">
      <c r="A212" s="1"/>
      <c r="B212" s="1"/>
      <c r="C212" s="1"/>
      <c r="D212" s="1"/>
      <c r="E212" s="23"/>
    </row>
    <row r="213" spans="1:5" ht="16.5" customHeight="1">
      <c r="A213" s="1"/>
      <c r="B213" s="1"/>
      <c r="C213" s="1"/>
      <c r="D213" s="1"/>
      <c r="E213" s="23"/>
    </row>
    <row r="214" spans="1:5" ht="16.5" customHeight="1">
      <c r="A214" s="1"/>
      <c r="B214" s="1"/>
      <c r="C214" s="1"/>
      <c r="D214" s="1"/>
      <c r="E214" s="23"/>
    </row>
    <row r="215" spans="1:5" ht="16.5" customHeight="1">
      <c r="A215" s="1"/>
      <c r="B215" s="1"/>
      <c r="C215" s="1"/>
      <c r="D215" s="1"/>
      <c r="E215" s="23"/>
    </row>
    <row r="216" spans="1:5" ht="16.5" customHeight="1">
      <c r="A216" s="1"/>
      <c r="B216" s="1"/>
      <c r="C216" s="1"/>
      <c r="D216" s="1"/>
      <c r="E216" s="23"/>
    </row>
    <row r="217" spans="1:5" ht="16.5" customHeight="1">
      <c r="A217" s="1"/>
      <c r="B217" s="1"/>
      <c r="C217" s="1"/>
      <c r="D217" s="1"/>
      <c r="E217" s="23"/>
    </row>
    <row r="218" spans="1:5" ht="16.5" customHeight="1">
      <c r="A218" s="1"/>
      <c r="B218" s="1"/>
      <c r="C218" s="1"/>
      <c r="D218" s="1"/>
      <c r="E218" s="23"/>
    </row>
    <row r="219" spans="1:5" ht="16.5" customHeight="1">
      <c r="A219" s="1"/>
      <c r="B219" s="1"/>
      <c r="C219" s="1"/>
      <c r="D219" s="1"/>
      <c r="E219" s="23"/>
    </row>
    <row r="220" spans="1:5" ht="16.5" customHeight="1">
      <c r="A220" s="1"/>
      <c r="B220" s="1"/>
      <c r="C220" s="1"/>
      <c r="D220" s="1"/>
      <c r="E220" s="23"/>
    </row>
    <row r="221" spans="1:5" ht="16.5" customHeight="1">
      <c r="A221" s="1"/>
      <c r="B221" s="1"/>
      <c r="C221" s="1"/>
      <c r="D221" s="1"/>
      <c r="E221" s="23"/>
    </row>
    <row r="222" spans="1:5" ht="16.5" customHeight="1">
      <c r="A222" s="1"/>
      <c r="B222" s="1"/>
      <c r="C222" s="1"/>
      <c r="D222" s="1"/>
      <c r="E222" s="23"/>
    </row>
    <row r="223" spans="1:5" ht="16.5" customHeight="1">
      <c r="A223" s="1"/>
      <c r="B223" s="1"/>
      <c r="C223" s="1"/>
      <c r="D223" s="1"/>
      <c r="E223" s="23"/>
    </row>
    <row r="224" spans="1:5" ht="16.5" customHeight="1">
      <c r="A224" s="1"/>
      <c r="B224" s="1"/>
      <c r="C224" s="1"/>
      <c r="D224" s="1"/>
      <c r="E224" s="23"/>
    </row>
    <row r="225" spans="1:5" ht="16.5" customHeight="1">
      <c r="A225" s="1"/>
      <c r="B225" s="1"/>
      <c r="C225" s="1"/>
      <c r="D225" s="1"/>
      <c r="E225" s="23"/>
    </row>
    <row r="226" spans="1:5" ht="16.5" customHeight="1">
      <c r="A226" s="1"/>
      <c r="B226" s="1"/>
      <c r="C226" s="1"/>
      <c r="D226" s="1"/>
      <c r="E226" s="23"/>
    </row>
    <row r="227" spans="1:5" ht="16.5" customHeight="1">
      <c r="A227" s="1"/>
      <c r="B227" s="1"/>
      <c r="C227" s="1"/>
      <c r="D227" s="1"/>
      <c r="E227" s="23"/>
    </row>
    <row r="228" spans="1:5" ht="16.5" customHeight="1">
      <c r="A228" s="1"/>
      <c r="B228" s="1"/>
      <c r="C228" s="1"/>
      <c r="D228" s="1"/>
      <c r="E228" s="23"/>
    </row>
    <row r="229" spans="1:5" ht="16.5" customHeight="1">
      <c r="A229" s="1"/>
      <c r="B229" s="1"/>
      <c r="C229" s="1"/>
      <c r="D229" s="1"/>
      <c r="E229" s="23"/>
    </row>
    <row r="230" spans="1:5" ht="16.5" customHeight="1">
      <c r="A230" s="1"/>
      <c r="B230" s="1"/>
      <c r="C230" s="1"/>
      <c r="D230" s="1"/>
      <c r="E230" s="23"/>
    </row>
    <row r="231" spans="1:5" ht="16.5" customHeight="1">
      <c r="A231" s="1"/>
      <c r="B231" s="1"/>
      <c r="C231" s="1"/>
      <c r="D231" s="1"/>
      <c r="E231" s="23"/>
    </row>
    <row r="232" spans="1:5" ht="16.5" customHeight="1">
      <c r="A232" s="1"/>
      <c r="B232" s="1"/>
      <c r="C232" s="1"/>
      <c r="D232" s="1"/>
      <c r="E232" s="23"/>
    </row>
    <row r="233" spans="1:5" ht="16.5" customHeight="1">
      <c r="A233" s="1"/>
      <c r="B233" s="1"/>
      <c r="C233" s="1"/>
      <c r="D233" s="1"/>
      <c r="E233" s="23"/>
    </row>
    <row r="234" spans="1:5" ht="16.5" customHeight="1">
      <c r="A234" s="1"/>
      <c r="B234" s="1"/>
      <c r="C234" s="1"/>
      <c r="D234" s="1"/>
      <c r="E234" s="23"/>
    </row>
    <row r="235" spans="1:5" ht="16.5" customHeight="1">
      <c r="A235" s="1"/>
      <c r="B235" s="1"/>
      <c r="C235" s="1"/>
      <c r="D235" s="1"/>
      <c r="E235" s="23"/>
    </row>
    <row r="236" spans="1:5" ht="16.5" customHeight="1">
      <c r="A236" s="1"/>
      <c r="B236" s="1"/>
      <c r="C236" s="1"/>
      <c r="D236" s="1"/>
      <c r="E236" s="23"/>
    </row>
    <row r="237" spans="1:5" ht="16.5" customHeight="1">
      <c r="A237" s="1"/>
      <c r="B237" s="1"/>
      <c r="C237" s="1"/>
      <c r="D237" s="1"/>
      <c r="E237" s="23"/>
    </row>
    <row r="238" spans="1:5" ht="16.5" customHeight="1">
      <c r="A238" s="1"/>
      <c r="B238" s="1"/>
      <c r="C238" s="1"/>
      <c r="D238" s="1"/>
      <c r="E238" s="23"/>
    </row>
    <row r="239" spans="1:5" ht="16.5" customHeight="1">
      <c r="A239" s="1"/>
      <c r="B239" s="1"/>
      <c r="C239" s="1"/>
      <c r="D239" s="1"/>
      <c r="E239" s="23"/>
    </row>
    <row r="240" spans="1:5" ht="16.5" customHeight="1">
      <c r="A240" s="1"/>
      <c r="B240" s="1"/>
      <c r="C240" s="1"/>
      <c r="D240" s="1"/>
      <c r="E240" s="23"/>
    </row>
    <row r="241" spans="1:5" ht="16.5" customHeight="1">
      <c r="A241" s="1"/>
      <c r="B241" s="1"/>
      <c r="C241" s="1"/>
      <c r="D241" s="1"/>
      <c r="E241" s="23"/>
    </row>
    <row r="242" spans="1:5" ht="16.5" customHeight="1">
      <c r="A242" s="1"/>
      <c r="B242" s="1"/>
      <c r="C242" s="1"/>
      <c r="D242" s="1"/>
      <c r="E242" s="23"/>
    </row>
    <row r="243" spans="1:5" ht="16.5" customHeight="1">
      <c r="A243" s="1"/>
      <c r="B243" s="1"/>
      <c r="C243" s="1"/>
      <c r="D243" s="1"/>
      <c r="E243" s="23"/>
    </row>
    <row r="244" spans="1:5" ht="16.5" customHeight="1">
      <c r="A244" s="1"/>
      <c r="B244" s="1"/>
      <c r="C244" s="1"/>
      <c r="D244" s="1"/>
      <c r="E244" s="23"/>
    </row>
    <row r="245" spans="1:5" ht="16.5" customHeight="1">
      <c r="A245" s="1"/>
      <c r="B245" s="1"/>
      <c r="C245" s="1"/>
      <c r="D245" s="1"/>
      <c r="E245" s="23"/>
    </row>
    <row r="246" spans="1:5" ht="16.5" customHeight="1">
      <c r="A246" s="1"/>
      <c r="B246" s="1"/>
      <c r="C246" s="1"/>
      <c r="D246" s="1"/>
      <c r="E246" s="23"/>
    </row>
    <row r="247" spans="1:5" ht="16.5" customHeight="1">
      <c r="A247" s="1"/>
      <c r="B247" s="1"/>
      <c r="C247" s="1"/>
      <c r="D247" s="1"/>
      <c r="E247" s="23"/>
    </row>
    <row r="248" spans="1:5" ht="16.5" customHeight="1">
      <c r="A248" s="1"/>
      <c r="B248" s="1"/>
      <c r="C248" s="1"/>
      <c r="D248" s="1"/>
      <c r="E248" s="23"/>
    </row>
    <row r="249" spans="1:5" ht="16.5" customHeight="1">
      <c r="A249" s="1"/>
      <c r="B249" s="1"/>
      <c r="C249" s="1"/>
      <c r="D249" s="1"/>
      <c r="E249" s="23"/>
    </row>
    <row r="250" spans="1:5" ht="16.5" customHeight="1">
      <c r="A250" s="1"/>
      <c r="B250" s="1"/>
      <c r="C250" s="1"/>
      <c r="D250" s="1"/>
      <c r="E250" s="23"/>
    </row>
    <row r="251" spans="1:5" ht="16.5" customHeight="1">
      <c r="A251" s="1"/>
      <c r="B251" s="1"/>
      <c r="C251" s="1"/>
      <c r="D251" s="1"/>
      <c r="E251" s="23"/>
    </row>
    <row r="252" spans="1:5" ht="16.5" customHeight="1">
      <c r="A252" s="1"/>
      <c r="B252" s="1"/>
      <c r="C252" s="1"/>
      <c r="D252" s="1"/>
      <c r="E252" s="23"/>
    </row>
    <row r="253" spans="1:5" ht="16.5" customHeight="1">
      <c r="A253" s="1"/>
      <c r="B253" s="1"/>
      <c r="C253" s="1"/>
      <c r="D253" s="1"/>
      <c r="E253" s="23"/>
    </row>
    <row r="254" spans="1:5" ht="16.5" customHeight="1">
      <c r="A254" s="1"/>
      <c r="B254" s="1"/>
      <c r="C254" s="1"/>
      <c r="D254" s="1"/>
      <c r="E254" s="23"/>
    </row>
    <row r="255" spans="1:5" ht="16.5" customHeight="1">
      <c r="A255" s="1"/>
      <c r="B255" s="1"/>
      <c r="C255" s="1"/>
      <c r="D255" s="1"/>
      <c r="E255" s="23"/>
    </row>
    <row r="256" spans="1:5" ht="16.5" customHeight="1">
      <c r="A256" s="1"/>
      <c r="B256" s="1"/>
      <c r="C256" s="1"/>
      <c r="D256" s="1"/>
      <c r="E256" s="23"/>
    </row>
    <row r="257" spans="1:5" ht="16.5" customHeight="1">
      <c r="A257" s="1"/>
      <c r="B257" s="1"/>
      <c r="C257" s="1"/>
      <c r="D257" s="1"/>
      <c r="E257" s="23"/>
    </row>
    <row r="258" spans="1:5" ht="16.5" customHeight="1">
      <c r="A258" s="1"/>
      <c r="B258" s="1"/>
      <c r="C258" s="1"/>
      <c r="D258" s="1"/>
      <c r="E258" s="23"/>
    </row>
    <row r="259" spans="1:5" ht="16.5" customHeight="1">
      <c r="A259" s="1"/>
      <c r="B259" s="1"/>
      <c r="C259" s="1"/>
      <c r="D259" s="1"/>
      <c r="E259" s="23"/>
    </row>
    <row r="260" spans="1:5" ht="16.5" customHeight="1">
      <c r="A260" s="1"/>
      <c r="B260" s="1"/>
      <c r="C260" s="1"/>
      <c r="D260" s="1"/>
      <c r="E260" s="23"/>
    </row>
    <row r="261" spans="1:5" ht="16.5" customHeight="1">
      <c r="A261" s="1"/>
      <c r="B261" s="1"/>
      <c r="C261" s="1"/>
      <c r="D261" s="1"/>
      <c r="E261" s="23"/>
    </row>
    <row r="262" spans="1:5" ht="16.5" customHeight="1">
      <c r="A262" s="1"/>
      <c r="B262" s="1"/>
      <c r="C262" s="1"/>
      <c r="D262" s="1"/>
      <c r="E262" s="23"/>
    </row>
    <row r="263" spans="1:5" ht="16.5" customHeight="1">
      <c r="A263" s="1"/>
      <c r="B263" s="1"/>
      <c r="C263" s="1"/>
      <c r="D263" s="1"/>
      <c r="E263" s="23"/>
    </row>
    <row r="264" spans="1:5" ht="16.5" customHeight="1">
      <c r="A264" s="1"/>
      <c r="B264" s="1"/>
      <c r="C264" s="1"/>
      <c r="D264" s="1"/>
      <c r="E264" s="23"/>
    </row>
    <row r="265" spans="1:5" ht="16.5" customHeight="1">
      <c r="A265" s="1"/>
      <c r="B265" s="1"/>
      <c r="C265" s="1"/>
      <c r="D265" s="1"/>
      <c r="E265" s="23"/>
    </row>
    <row r="266" spans="1:5" ht="16.5" customHeight="1">
      <c r="A266" s="1"/>
      <c r="B266" s="1"/>
      <c r="C266" s="1"/>
      <c r="D266" s="1"/>
      <c r="E266" s="23"/>
    </row>
    <row r="267" spans="1:5" ht="16.5" customHeight="1">
      <c r="A267" s="1"/>
      <c r="B267" s="1"/>
      <c r="C267" s="1"/>
      <c r="D267" s="1"/>
      <c r="E267" s="23"/>
    </row>
    <row r="268" spans="1:5" ht="16.5" customHeight="1">
      <c r="A268" s="1"/>
      <c r="B268" s="1"/>
      <c r="C268" s="1"/>
      <c r="D268" s="1"/>
      <c r="E268" s="23"/>
    </row>
    <row r="269" spans="1:5" ht="16.5" customHeight="1">
      <c r="A269" s="1"/>
      <c r="B269" s="1"/>
      <c r="C269" s="1"/>
      <c r="D269" s="1"/>
      <c r="E269" s="23"/>
    </row>
    <row r="270" spans="1:5" ht="16.5" customHeight="1">
      <c r="A270" s="1"/>
      <c r="B270" s="1"/>
      <c r="C270" s="1"/>
      <c r="D270" s="1"/>
      <c r="E270" s="23"/>
    </row>
    <row r="271" spans="1:5" ht="16.5" customHeight="1">
      <c r="A271" s="1"/>
      <c r="B271" s="1"/>
      <c r="C271" s="1"/>
      <c r="D271" s="1"/>
      <c r="E271" s="23"/>
    </row>
    <row r="272" spans="1:5" ht="16.5" customHeight="1">
      <c r="A272" s="1"/>
      <c r="B272" s="1"/>
      <c r="C272" s="1"/>
      <c r="D272" s="1"/>
      <c r="E272" s="23"/>
    </row>
    <row r="273" spans="1:5" ht="16.5" customHeight="1">
      <c r="A273" s="1"/>
      <c r="B273" s="1"/>
      <c r="C273" s="1"/>
      <c r="D273" s="1"/>
      <c r="E273" s="23"/>
    </row>
    <row r="274" spans="1:5" ht="16.5" customHeight="1">
      <c r="A274" s="1"/>
      <c r="B274" s="1"/>
      <c r="C274" s="1"/>
      <c r="D274" s="1"/>
      <c r="E274" s="23"/>
    </row>
    <row r="275" spans="1:5" ht="16.5" customHeight="1">
      <c r="A275" s="1"/>
      <c r="B275" s="1"/>
      <c r="C275" s="1"/>
      <c r="D275" s="1"/>
      <c r="E275" s="23"/>
    </row>
    <row r="276" spans="1:5" ht="16.5" customHeight="1">
      <c r="A276" s="1"/>
      <c r="B276" s="1"/>
      <c r="C276" s="1"/>
      <c r="D276" s="1"/>
      <c r="E276" s="23"/>
    </row>
    <row r="277" spans="1:5" ht="16.5" customHeight="1">
      <c r="A277" s="1"/>
      <c r="B277" s="1"/>
      <c r="C277" s="1"/>
      <c r="D277" s="1"/>
      <c r="E277" s="23"/>
    </row>
    <row r="278" spans="1:5" ht="16.5" customHeight="1">
      <c r="A278" s="1"/>
      <c r="B278" s="1"/>
      <c r="C278" s="1"/>
      <c r="D278" s="1"/>
      <c r="E278" s="23"/>
    </row>
    <row r="279" spans="1:5" ht="16.5" customHeight="1">
      <c r="A279" s="1"/>
      <c r="B279" s="1"/>
      <c r="C279" s="1"/>
      <c r="D279" s="1"/>
      <c r="E279" s="23"/>
    </row>
    <row r="280" spans="1:5" ht="16.5" customHeight="1">
      <c r="A280" s="1"/>
      <c r="B280" s="1"/>
      <c r="C280" s="1"/>
      <c r="D280" s="1"/>
      <c r="E280" s="23"/>
    </row>
    <row r="281" spans="1:5" ht="16.5" customHeight="1">
      <c r="A281" s="1"/>
      <c r="B281" s="1"/>
      <c r="C281" s="1"/>
      <c r="D281" s="1"/>
      <c r="E281" s="23"/>
    </row>
    <row r="282" spans="1:5" ht="16.5" customHeight="1">
      <c r="A282" s="1"/>
      <c r="B282" s="1"/>
      <c r="C282" s="1"/>
      <c r="D282" s="1"/>
      <c r="E282" s="23"/>
    </row>
    <row r="283" spans="1:5" ht="16.5" customHeight="1">
      <c r="A283" s="1"/>
      <c r="B283" s="1"/>
      <c r="C283" s="1"/>
      <c r="D283" s="1"/>
      <c r="E283" s="23"/>
    </row>
    <row r="284" spans="1:5" ht="16.5" customHeight="1">
      <c r="A284" s="1"/>
      <c r="B284" s="1"/>
      <c r="C284" s="1"/>
      <c r="D284" s="1"/>
      <c r="E284" s="23"/>
    </row>
    <row r="285" spans="1:5" ht="16.5" customHeight="1">
      <c r="A285" s="1"/>
      <c r="B285" s="1"/>
      <c r="C285" s="1"/>
      <c r="D285" s="1"/>
      <c r="E285" s="23"/>
    </row>
    <row r="286" spans="1:5" ht="16.5" customHeight="1">
      <c r="A286" s="1"/>
      <c r="B286" s="1"/>
      <c r="C286" s="1"/>
      <c r="D286" s="1"/>
      <c r="E286" s="23"/>
    </row>
    <row r="287" spans="1:5" ht="16.5" customHeight="1">
      <c r="A287" s="1"/>
      <c r="B287" s="1"/>
      <c r="C287" s="1"/>
      <c r="D287" s="1"/>
      <c r="E287" s="23"/>
    </row>
    <row r="288" spans="1:5" ht="16.5" customHeight="1">
      <c r="A288" s="1"/>
      <c r="B288" s="1"/>
      <c r="C288" s="1"/>
      <c r="D288" s="1"/>
      <c r="E288" s="23"/>
    </row>
    <row r="289" spans="1:5" ht="16.5" customHeight="1">
      <c r="A289" s="1"/>
      <c r="B289" s="1"/>
      <c r="C289" s="1"/>
      <c r="D289" s="1"/>
      <c r="E289" s="23"/>
    </row>
    <row r="290" spans="1:5" ht="16.5" customHeight="1">
      <c r="A290" s="1"/>
      <c r="B290" s="1"/>
      <c r="C290" s="1"/>
      <c r="D290" s="1"/>
      <c r="E290" s="23"/>
    </row>
    <row r="291" spans="1:5" ht="16.5" customHeight="1">
      <c r="A291" s="1"/>
      <c r="B291" s="1"/>
      <c r="C291" s="1"/>
      <c r="D291" s="1"/>
      <c r="E291" s="23"/>
    </row>
    <row r="292" spans="1:5" ht="16.5" customHeight="1">
      <c r="A292" s="1"/>
      <c r="B292" s="1"/>
      <c r="C292" s="1"/>
      <c r="D292" s="1"/>
      <c r="E292" s="23"/>
    </row>
    <row r="293" spans="1:5" ht="16.5" customHeight="1">
      <c r="A293" s="1"/>
      <c r="B293" s="1"/>
      <c r="C293" s="1"/>
      <c r="D293" s="1"/>
      <c r="E293" s="23"/>
    </row>
    <row r="294" spans="1:5" ht="16.5" customHeight="1">
      <c r="A294" s="1"/>
      <c r="B294" s="1"/>
      <c r="C294" s="1"/>
      <c r="D294" s="1"/>
      <c r="E294" s="23"/>
    </row>
    <row r="295" spans="1:5" ht="16.5" customHeight="1">
      <c r="A295" s="1"/>
      <c r="B295" s="1"/>
      <c r="C295" s="1"/>
      <c r="D295" s="1"/>
      <c r="E295" s="23"/>
    </row>
    <row r="296" spans="1:5" ht="16.5" customHeight="1">
      <c r="A296" s="1"/>
      <c r="B296" s="1"/>
      <c r="C296" s="1"/>
      <c r="D296" s="1"/>
      <c r="E296" s="23"/>
    </row>
    <row r="297" spans="1:5" ht="16.5" customHeight="1">
      <c r="A297" s="1"/>
      <c r="B297" s="1"/>
      <c r="C297" s="1"/>
      <c r="D297" s="1"/>
      <c r="E297" s="23"/>
    </row>
    <row r="298" spans="1:5" ht="16.5" customHeight="1">
      <c r="A298" s="1"/>
      <c r="B298" s="1"/>
      <c r="C298" s="1"/>
      <c r="D298" s="1"/>
      <c r="E298" s="23"/>
    </row>
    <row r="299" spans="1:5" ht="16.5" customHeight="1">
      <c r="A299" s="1"/>
      <c r="B299" s="1"/>
      <c r="C299" s="1"/>
      <c r="D299" s="1"/>
      <c r="E299" s="23"/>
    </row>
    <row r="300" spans="1:5" ht="16.5" customHeight="1">
      <c r="A300" s="1"/>
      <c r="B300" s="1"/>
      <c r="C300" s="1"/>
      <c r="D300" s="1"/>
      <c r="E300" s="23"/>
    </row>
    <row r="301" spans="1:5" ht="16.5" customHeight="1">
      <c r="A301" s="1"/>
      <c r="B301" s="1"/>
      <c r="C301" s="1"/>
      <c r="D301" s="1"/>
      <c r="E301" s="23"/>
    </row>
    <row r="302" spans="1:5" ht="16.5" customHeight="1">
      <c r="A302" s="1"/>
      <c r="B302" s="1"/>
      <c r="C302" s="1"/>
      <c r="D302" s="1"/>
      <c r="E302" s="23"/>
    </row>
    <row r="303" spans="1:5" ht="16.5" customHeight="1">
      <c r="A303" s="1"/>
      <c r="B303" s="1"/>
      <c r="C303" s="1"/>
      <c r="D303" s="1"/>
      <c r="E303" s="23"/>
    </row>
    <row r="304" spans="1:5" ht="16.5" customHeight="1">
      <c r="A304" s="1"/>
      <c r="B304" s="1"/>
      <c r="C304" s="1"/>
      <c r="D304" s="1"/>
      <c r="E304" s="23"/>
    </row>
    <row r="305" spans="1:5" ht="16.5" customHeight="1">
      <c r="A305" s="1"/>
      <c r="B305" s="1"/>
      <c r="C305" s="1"/>
      <c r="D305" s="1"/>
      <c r="E305" s="23"/>
    </row>
    <row r="306" spans="1:5" ht="16.5" customHeight="1">
      <c r="A306" s="1"/>
      <c r="B306" s="1"/>
      <c r="C306" s="1"/>
      <c r="D306" s="1"/>
      <c r="E306" s="23"/>
    </row>
    <row r="307" spans="1:5" ht="16.5" customHeight="1">
      <c r="A307" s="1"/>
      <c r="B307" s="1"/>
      <c r="C307" s="1"/>
      <c r="D307" s="1"/>
      <c r="E307" s="23"/>
    </row>
    <row r="308" spans="1:5" ht="16.5" customHeight="1">
      <c r="A308" s="1"/>
      <c r="B308" s="1"/>
      <c r="C308" s="1"/>
      <c r="D308" s="1"/>
      <c r="E308" s="23"/>
    </row>
    <row r="309" spans="1:5" ht="16.5" customHeight="1">
      <c r="A309" s="1"/>
      <c r="B309" s="1"/>
      <c r="C309" s="1"/>
      <c r="D309" s="1"/>
      <c r="E309" s="23"/>
    </row>
    <row r="310" spans="1:5" ht="16.5" customHeight="1">
      <c r="A310" s="1"/>
      <c r="B310" s="1"/>
      <c r="C310" s="1"/>
      <c r="D310" s="1"/>
      <c r="E310" s="23"/>
    </row>
    <row r="311" spans="1:5" ht="16.5" customHeight="1">
      <c r="A311" s="1"/>
      <c r="B311" s="1"/>
      <c r="C311" s="1"/>
      <c r="D311" s="1"/>
      <c r="E311" s="23"/>
    </row>
    <row r="312" spans="1:5" ht="16.5" customHeight="1">
      <c r="A312" s="1"/>
      <c r="B312" s="1"/>
      <c r="C312" s="1"/>
      <c r="D312" s="1"/>
      <c r="E312" s="23"/>
    </row>
    <row r="313" spans="1:5" ht="16.5" customHeight="1">
      <c r="A313" s="1"/>
      <c r="B313" s="1"/>
      <c r="C313" s="1"/>
      <c r="D313" s="1"/>
      <c r="E313" s="23"/>
    </row>
    <row r="314" spans="1:5" ht="16.5" customHeight="1">
      <c r="A314" s="1"/>
      <c r="B314" s="1"/>
      <c r="C314" s="1"/>
      <c r="D314" s="1"/>
      <c r="E314" s="23"/>
    </row>
    <row r="315" spans="1:5" ht="16.5" customHeight="1">
      <c r="A315" s="1"/>
      <c r="B315" s="1"/>
      <c r="C315" s="1"/>
      <c r="D315" s="1"/>
      <c r="E315" s="23"/>
    </row>
    <row r="316" spans="1:5" ht="16.5" customHeight="1">
      <c r="A316" s="1"/>
      <c r="B316" s="1"/>
      <c r="C316" s="1"/>
      <c r="D316" s="1"/>
      <c r="E316" s="23"/>
    </row>
    <row r="317" spans="1:5" ht="16.5" customHeight="1">
      <c r="A317" s="1"/>
      <c r="B317" s="1"/>
      <c r="C317" s="1"/>
      <c r="D317" s="1"/>
      <c r="E317" s="23"/>
    </row>
    <row r="318" spans="1:5" ht="16.5" customHeight="1">
      <c r="A318" s="1"/>
      <c r="B318" s="1"/>
      <c r="C318" s="1"/>
      <c r="D318" s="1"/>
      <c r="E318" s="23"/>
    </row>
    <row r="319" spans="1:5" ht="16.5" customHeight="1">
      <c r="A319" s="1"/>
      <c r="B319" s="1"/>
      <c r="C319" s="1"/>
      <c r="D319" s="1"/>
      <c r="E319" s="23"/>
    </row>
    <row r="320" spans="1:5" ht="16.5" customHeight="1">
      <c r="A320" s="1"/>
      <c r="B320" s="1"/>
      <c r="C320" s="1"/>
      <c r="D320" s="1"/>
      <c r="E320" s="23"/>
    </row>
    <row r="321" spans="1:5" ht="16.5" customHeight="1">
      <c r="A321" s="1"/>
      <c r="B321" s="1"/>
      <c r="C321" s="1"/>
      <c r="D321" s="1"/>
      <c r="E321" s="23"/>
    </row>
    <row r="322" spans="1:5" ht="16.5" customHeight="1">
      <c r="A322" s="1"/>
      <c r="B322" s="1"/>
      <c r="C322" s="1"/>
      <c r="D322" s="1"/>
      <c r="E322" s="23"/>
    </row>
    <row r="323" spans="1:5" ht="16.5" customHeight="1">
      <c r="A323" s="1"/>
      <c r="B323" s="1"/>
      <c r="C323" s="1"/>
      <c r="D323" s="1"/>
      <c r="E323" s="23"/>
    </row>
    <row r="324" spans="1:5" ht="16.5" customHeight="1">
      <c r="A324" s="1"/>
      <c r="B324" s="1"/>
      <c r="C324" s="1"/>
      <c r="D324" s="1"/>
      <c r="E324" s="23"/>
    </row>
    <row r="325" spans="1:5" ht="16.5" customHeight="1">
      <c r="A325" s="1"/>
      <c r="B325" s="1"/>
      <c r="C325" s="1"/>
      <c r="D325" s="1"/>
      <c r="E325" s="23"/>
    </row>
    <row r="326" spans="1:5" ht="16.5" customHeight="1">
      <c r="A326" s="1"/>
      <c r="B326" s="1"/>
      <c r="C326" s="1"/>
      <c r="D326" s="1"/>
      <c r="E326" s="23"/>
    </row>
    <row r="327" spans="1:5" ht="16.5" customHeight="1">
      <c r="A327" s="1"/>
      <c r="B327" s="1"/>
      <c r="C327" s="1"/>
      <c r="D327" s="1"/>
      <c r="E327" s="23"/>
    </row>
    <row r="328" spans="1:5" ht="16.5" customHeight="1">
      <c r="A328" s="1"/>
      <c r="B328" s="1"/>
      <c r="C328" s="1"/>
      <c r="D328" s="1"/>
      <c r="E328" s="23"/>
    </row>
    <row r="329" spans="1:5" ht="16.5" customHeight="1">
      <c r="A329" s="1"/>
      <c r="B329" s="1"/>
      <c r="C329" s="1"/>
      <c r="D329" s="1"/>
      <c r="E329" s="23"/>
    </row>
    <row r="330" spans="1:5" ht="16.5" customHeight="1">
      <c r="A330" s="1"/>
      <c r="B330" s="1"/>
      <c r="C330" s="1"/>
      <c r="D330" s="1"/>
      <c r="E330" s="23"/>
    </row>
    <row r="331" spans="1:5" ht="16.5" customHeight="1">
      <c r="A331" s="1"/>
      <c r="B331" s="1"/>
      <c r="C331" s="1"/>
      <c r="D331" s="1"/>
      <c r="E331" s="23"/>
    </row>
    <row r="332" spans="1:5" ht="16.5" customHeight="1">
      <c r="A332" s="1"/>
      <c r="B332" s="1"/>
      <c r="C332" s="1"/>
      <c r="D332" s="1"/>
      <c r="E332" s="23"/>
    </row>
    <row r="333" spans="1:5" ht="16.5" customHeight="1">
      <c r="A333" s="1"/>
      <c r="B333" s="1"/>
      <c r="C333" s="1"/>
      <c r="D333" s="1"/>
      <c r="E333" s="23"/>
    </row>
    <row r="334" spans="1:5" ht="16.5" customHeight="1">
      <c r="A334" s="1"/>
      <c r="B334" s="1"/>
      <c r="C334" s="1"/>
      <c r="D334" s="1"/>
      <c r="E334" s="23"/>
    </row>
    <row r="335" spans="1:5" ht="16.5" customHeight="1">
      <c r="A335" s="1"/>
      <c r="B335" s="1"/>
      <c r="C335" s="1"/>
      <c r="D335" s="1"/>
      <c r="E335" s="23"/>
    </row>
    <row r="336" spans="1:5" ht="16.5" customHeight="1">
      <c r="A336" s="1"/>
      <c r="B336" s="1"/>
      <c r="C336" s="1"/>
      <c r="D336" s="1"/>
      <c r="E336" s="23"/>
    </row>
    <row r="337" spans="1:5" ht="16.5" customHeight="1">
      <c r="A337" s="1"/>
      <c r="B337" s="1"/>
      <c r="C337" s="1"/>
      <c r="D337" s="1"/>
      <c r="E337" s="23"/>
    </row>
    <row r="338" spans="1:5" ht="16.5" customHeight="1">
      <c r="A338" s="1"/>
      <c r="B338" s="1"/>
      <c r="C338" s="1"/>
      <c r="D338" s="1"/>
      <c r="E338" s="23"/>
    </row>
    <row r="339" spans="1:5" ht="16.5" customHeight="1">
      <c r="A339" s="1"/>
      <c r="B339" s="1"/>
      <c r="C339" s="1"/>
      <c r="D339" s="1"/>
      <c r="E339" s="23"/>
    </row>
    <row r="340" spans="1:5" ht="16.5" customHeight="1">
      <c r="A340" s="1"/>
      <c r="B340" s="1"/>
      <c r="C340" s="1"/>
      <c r="D340" s="1"/>
      <c r="E340" s="23"/>
    </row>
    <row r="341" spans="1:5" ht="16.5" customHeight="1">
      <c r="A341" s="1"/>
      <c r="B341" s="1"/>
      <c r="C341" s="1"/>
      <c r="D341" s="1"/>
      <c r="E341" s="23"/>
    </row>
    <row r="342" spans="1:5" ht="16.5" customHeight="1">
      <c r="A342" s="1"/>
      <c r="B342" s="1"/>
      <c r="C342" s="1"/>
      <c r="D342" s="1"/>
      <c r="E342" s="23"/>
    </row>
    <row r="343" spans="1:5" ht="16.5" customHeight="1">
      <c r="A343" s="1"/>
      <c r="B343" s="1"/>
      <c r="C343" s="1"/>
      <c r="D343" s="1"/>
      <c r="E343" s="23"/>
    </row>
    <row r="344" spans="1:5" ht="16.5" customHeight="1">
      <c r="A344" s="1"/>
      <c r="B344" s="1"/>
      <c r="C344" s="1"/>
      <c r="D344" s="1"/>
      <c r="E344" s="23"/>
    </row>
    <row r="345" spans="1:5" ht="16.5" customHeight="1">
      <c r="A345" s="1"/>
      <c r="B345" s="1"/>
      <c r="C345" s="1"/>
      <c r="D345" s="1"/>
      <c r="E345" s="23"/>
    </row>
    <row r="346" spans="1:5" ht="16.5" customHeight="1">
      <c r="A346" s="1"/>
      <c r="B346" s="1"/>
      <c r="C346" s="1"/>
      <c r="D346" s="1"/>
      <c r="E346" s="23"/>
    </row>
    <row r="347" spans="1:5" ht="16.5" customHeight="1">
      <c r="A347" s="1"/>
      <c r="B347" s="1"/>
      <c r="C347" s="1"/>
      <c r="D347" s="1"/>
      <c r="E347" s="23"/>
    </row>
    <row r="348" spans="1:5" ht="16.5" customHeight="1">
      <c r="A348" s="1"/>
      <c r="B348" s="1"/>
      <c r="C348" s="1"/>
      <c r="D348" s="1"/>
      <c r="E348" s="23"/>
    </row>
    <row r="349" spans="1:5" ht="16.5" customHeight="1">
      <c r="A349" s="1"/>
      <c r="B349" s="1"/>
      <c r="C349" s="1"/>
      <c r="D349" s="1"/>
      <c r="E349" s="23"/>
    </row>
    <row r="350" spans="1:5" ht="16.5" customHeight="1">
      <c r="A350" s="1"/>
      <c r="B350" s="1"/>
      <c r="C350" s="1"/>
      <c r="D350" s="1"/>
      <c r="E350" s="23"/>
    </row>
    <row r="351" spans="1:5" ht="16.5" customHeight="1">
      <c r="A351" s="1"/>
      <c r="B351" s="1"/>
      <c r="C351" s="1"/>
      <c r="D351" s="1"/>
      <c r="E351" s="23"/>
    </row>
    <row r="352" spans="1:5" ht="16.5" customHeight="1">
      <c r="A352" s="1"/>
      <c r="B352" s="1"/>
      <c r="C352" s="1"/>
      <c r="D352" s="1"/>
      <c r="E352" s="23"/>
    </row>
    <row r="353" spans="1:5" ht="16.5" customHeight="1">
      <c r="A353" s="1"/>
      <c r="B353" s="1"/>
      <c r="C353" s="1"/>
      <c r="D353" s="1"/>
      <c r="E353" s="23"/>
    </row>
    <row r="354" spans="1:5" ht="16.5" customHeight="1">
      <c r="A354" s="1"/>
      <c r="B354" s="1"/>
      <c r="C354" s="1"/>
      <c r="D354" s="1"/>
      <c r="E354" s="23"/>
    </row>
    <row r="355" spans="1:5" ht="16.5" customHeight="1">
      <c r="A355" s="1"/>
      <c r="B355" s="1"/>
      <c r="C355" s="1"/>
      <c r="D355" s="1"/>
      <c r="E355" s="23"/>
    </row>
    <row r="356" spans="1:5" ht="16.5" customHeight="1">
      <c r="A356" s="1"/>
      <c r="B356" s="1"/>
      <c r="C356" s="1"/>
      <c r="D356" s="1"/>
      <c r="E356" s="23"/>
    </row>
    <row r="357" spans="1:5" ht="16.5" customHeight="1">
      <c r="A357" s="1"/>
      <c r="B357" s="1"/>
      <c r="C357" s="1"/>
      <c r="D357" s="1"/>
      <c r="E357" s="23"/>
    </row>
    <row r="358" spans="1:5" ht="16.5" customHeight="1">
      <c r="A358" s="1"/>
      <c r="B358" s="1"/>
      <c r="C358" s="1"/>
      <c r="D358" s="1"/>
      <c r="E358" s="23"/>
    </row>
    <row r="359" spans="1:5" ht="16.5" customHeight="1">
      <c r="A359" s="1"/>
      <c r="B359" s="1"/>
      <c r="C359" s="1"/>
      <c r="D359" s="1"/>
      <c r="E359" s="23"/>
    </row>
    <row r="360" spans="1:5" ht="16.5" customHeight="1">
      <c r="A360" s="1"/>
      <c r="B360" s="1"/>
      <c r="C360" s="1"/>
      <c r="D360" s="1"/>
      <c r="E360" s="23"/>
    </row>
    <row r="361" spans="1:5" ht="16.5" customHeight="1">
      <c r="A361" s="1"/>
      <c r="B361" s="1"/>
      <c r="C361" s="1"/>
      <c r="D361" s="1"/>
      <c r="E361" s="23"/>
    </row>
    <row r="362" spans="1:5" ht="16.5" customHeight="1">
      <c r="A362" s="1"/>
      <c r="B362" s="1"/>
      <c r="C362" s="1"/>
      <c r="D362" s="1"/>
      <c r="E362" s="23"/>
    </row>
    <row r="363" spans="1:5" ht="16.5" customHeight="1">
      <c r="A363" s="1"/>
      <c r="B363" s="1"/>
      <c r="C363" s="1"/>
      <c r="D363" s="1"/>
      <c r="E363" s="23"/>
    </row>
    <row r="364" spans="1:5" ht="16.5" customHeight="1">
      <c r="A364" s="1"/>
      <c r="B364" s="1"/>
      <c r="C364" s="1"/>
      <c r="D364" s="1"/>
      <c r="E364" s="23"/>
    </row>
    <row r="365" spans="1:5" ht="16.5" customHeight="1">
      <c r="A365" s="1"/>
      <c r="B365" s="1"/>
      <c r="C365" s="1"/>
      <c r="D365" s="1"/>
      <c r="E365" s="23"/>
    </row>
    <row r="366" spans="1:5" ht="16.5" customHeight="1">
      <c r="A366" s="1"/>
      <c r="B366" s="1"/>
      <c r="C366" s="1"/>
      <c r="D366" s="1"/>
      <c r="E366" s="23"/>
    </row>
    <row r="367" spans="1:5" ht="16.5" customHeight="1">
      <c r="A367" s="1"/>
      <c r="B367" s="1"/>
      <c r="C367" s="1"/>
      <c r="D367" s="1"/>
      <c r="E367" s="23"/>
    </row>
    <row r="368" spans="1:5" ht="16.5" customHeight="1">
      <c r="A368" s="1"/>
      <c r="B368" s="1"/>
      <c r="C368" s="1"/>
      <c r="D368" s="1"/>
      <c r="E368" s="23"/>
    </row>
    <row r="369" spans="1:5" ht="16.5" customHeight="1">
      <c r="A369" s="1"/>
      <c r="B369" s="1"/>
      <c r="C369" s="1"/>
      <c r="D369" s="1"/>
      <c r="E369" s="23"/>
    </row>
    <row r="370" spans="1:5" ht="16.5" customHeight="1">
      <c r="A370" s="1"/>
      <c r="B370" s="1"/>
      <c r="C370" s="1"/>
      <c r="D370" s="1"/>
      <c r="E370" s="23"/>
    </row>
    <row r="371" spans="1:5" ht="16.5" customHeight="1">
      <c r="A371" s="1"/>
      <c r="B371" s="1"/>
      <c r="C371" s="1"/>
      <c r="D371" s="1"/>
      <c r="E371" s="23"/>
    </row>
    <row r="372" spans="1:5" ht="16.5" customHeight="1">
      <c r="A372" s="1"/>
      <c r="B372" s="1"/>
      <c r="C372" s="1"/>
      <c r="D372" s="1"/>
      <c r="E372" s="23"/>
    </row>
    <row r="373" spans="1:5" ht="16.5" customHeight="1">
      <c r="A373" s="1"/>
      <c r="B373" s="1"/>
      <c r="C373" s="1"/>
      <c r="D373" s="1"/>
      <c r="E373" s="23"/>
    </row>
    <row r="374" spans="1:5" ht="16.5" customHeight="1">
      <c r="A374" s="1"/>
      <c r="B374" s="1"/>
      <c r="C374" s="1"/>
      <c r="D374" s="1"/>
      <c r="E374" s="23"/>
    </row>
    <row r="375" spans="1:5" ht="16.5" customHeight="1">
      <c r="A375" s="1"/>
      <c r="B375" s="1"/>
      <c r="C375" s="1"/>
      <c r="D375" s="1"/>
      <c r="E375" s="23"/>
    </row>
    <row r="376" spans="1:5" ht="16.5" customHeight="1">
      <c r="A376" s="1"/>
      <c r="B376" s="1"/>
      <c r="C376" s="1"/>
      <c r="D376" s="1"/>
      <c r="E376" s="23"/>
    </row>
    <row r="377" spans="1:5" ht="16.5" customHeight="1">
      <c r="A377" s="1"/>
      <c r="B377" s="1"/>
      <c r="C377" s="1"/>
      <c r="D377" s="1"/>
      <c r="E377" s="23"/>
    </row>
    <row r="378" spans="1:5" ht="16.5" customHeight="1">
      <c r="A378" s="1"/>
      <c r="B378" s="1"/>
      <c r="C378" s="1"/>
      <c r="D378" s="1"/>
      <c r="E378" s="23"/>
    </row>
    <row r="379" spans="1:5" ht="16.5" customHeight="1">
      <c r="A379" s="1"/>
      <c r="B379" s="1"/>
      <c r="C379" s="1"/>
      <c r="D379" s="1"/>
      <c r="E379" s="23"/>
    </row>
    <row r="380" spans="1:5" ht="16.5" customHeight="1">
      <c r="A380" s="1"/>
      <c r="B380" s="1"/>
      <c r="C380" s="1"/>
      <c r="D380" s="1"/>
      <c r="E380" s="23"/>
    </row>
    <row r="381" spans="1:5" ht="16.5" customHeight="1">
      <c r="A381" s="1"/>
      <c r="B381" s="1"/>
      <c r="C381" s="1"/>
      <c r="D381" s="1"/>
      <c r="E381" s="23"/>
    </row>
    <row r="382" spans="1:5" ht="16.5" customHeight="1">
      <c r="A382" s="1"/>
      <c r="B382" s="1"/>
      <c r="C382" s="1"/>
      <c r="D382" s="1"/>
      <c r="E382" s="23"/>
    </row>
    <row r="383" spans="1:5" ht="16.5" customHeight="1">
      <c r="A383" s="1"/>
      <c r="B383" s="1"/>
      <c r="C383" s="1"/>
      <c r="D383" s="1"/>
      <c r="E383" s="23"/>
    </row>
    <row r="384" spans="1:5" ht="16.5" customHeight="1">
      <c r="A384" s="1"/>
      <c r="B384" s="1"/>
      <c r="C384" s="1"/>
      <c r="D384" s="1"/>
      <c r="E384" s="23"/>
    </row>
    <row r="385" spans="1:5" ht="16.5" customHeight="1">
      <c r="A385" s="1"/>
      <c r="B385" s="1"/>
      <c r="C385" s="1"/>
      <c r="D385" s="1"/>
      <c r="E385" s="23"/>
    </row>
    <row r="386" spans="1:5" ht="16.5" customHeight="1">
      <c r="A386" s="1"/>
      <c r="B386" s="1"/>
      <c r="C386" s="1"/>
      <c r="D386" s="1"/>
      <c r="E386" s="23"/>
    </row>
    <row r="387" spans="1:5" ht="16.5" customHeight="1">
      <c r="A387" s="1"/>
      <c r="B387" s="1"/>
      <c r="C387" s="1"/>
      <c r="D387" s="1"/>
      <c r="E387" s="23"/>
    </row>
    <row r="388" spans="1:5" ht="16.5" customHeight="1">
      <c r="A388" s="1"/>
      <c r="B388" s="1"/>
      <c r="C388" s="1"/>
      <c r="D388" s="1"/>
      <c r="E388" s="23"/>
    </row>
    <row r="389" spans="1:5" ht="16.5" customHeight="1">
      <c r="A389" s="1"/>
      <c r="B389" s="1"/>
      <c r="C389" s="1"/>
      <c r="D389" s="1"/>
      <c r="E389" s="23"/>
    </row>
    <row r="390" spans="1:5" ht="16.5" customHeight="1">
      <c r="A390" s="1"/>
      <c r="B390" s="1"/>
      <c r="C390" s="1"/>
      <c r="D390" s="1"/>
      <c r="E390" s="23"/>
    </row>
    <row r="391" spans="1:5" ht="16.5" customHeight="1">
      <c r="A391" s="1"/>
      <c r="B391" s="1"/>
      <c r="C391" s="1"/>
      <c r="D391" s="1"/>
      <c r="E391" s="23"/>
    </row>
    <row r="392" spans="1:5" ht="16.5" customHeight="1">
      <c r="A392" s="1"/>
      <c r="B392" s="1"/>
      <c r="C392" s="1"/>
      <c r="D392" s="1"/>
      <c r="E392" s="23"/>
    </row>
    <row r="393" spans="1:5" ht="16.5" customHeight="1">
      <c r="A393" s="1"/>
      <c r="B393" s="1"/>
      <c r="C393" s="1"/>
      <c r="D393" s="1"/>
      <c r="E393" s="23"/>
    </row>
    <row r="394" spans="1:5" ht="16.5" customHeight="1">
      <c r="A394" s="1"/>
      <c r="B394" s="1"/>
      <c r="C394" s="1"/>
      <c r="D394" s="1"/>
      <c r="E394" s="23"/>
    </row>
    <row r="395" spans="1:5" ht="16.5" customHeight="1">
      <c r="A395" s="1"/>
      <c r="B395" s="1"/>
      <c r="C395" s="1"/>
      <c r="D395" s="1"/>
      <c r="E395" s="23"/>
    </row>
    <row r="396" spans="1:5" ht="16.5" customHeight="1">
      <c r="A396" s="1"/>
      <c r="B396" s="1"/>
      <c r="C396" s="1"/>
      <c r="D396" s="1"/>
      <c r="E396" s="23"/>
    </row>
    <row r="397" spans="1:5" ht="16.5" customHeight="1">
      <c r="A397" s="1"/>
      <c r="B397" s="1"/>
      <c r="C397" s="1"/>
      <c r="D397" s="1"/>
      <c r="E397" s="23"/>
    </row>
    <row r="398" spans="1:5" ht="16.5" customHeight="1">
      <c r="A398" s="1"/>
      <c r="B398" s="1"/>
      <c r="C398" s="1"/>
      <c r="D398" s="1"/>
      <c r="E398" s="23"/>
    </row>
    <row r="399" spans="1:5" ht="16.5" customHeight="1">
      <c r="A399" s="1"/>
      <c r="B399" s="1"/>
      <c r="C399" s="1"/>
      <c r="D399" s="1"/>
      <c r="E399" s="23"/>
    </row>
    <row r="400" spans="1:5" ht="16.5" customHeight="1">
      <c r="A400" s="1"/>
      <c r="B400" s="1"/>
      <c r="C400" s="1"/>
      <c r="D400" s="1"/>
      <c r="E400" s="23"/>
    </row>
    <row r="401" spans="1:5" ht="16.5" customHeight="1">
      <c r="A401" s="1"/>
      <c r="B401" s="1"/>
      <c r="C401" s="1"/>
      <c r="D401" s="1"/>
      <c r="E401" s="23"/>
    </row>
    <row r="402" spans="1:5" ht="16.5" customHeight="1">
      <c r="A402" s="1"/>
      <c r="B402" s="1"/>
      <c r="C402" s="1"/>
      <c r="D402" s="1"/>
      <c r="E402" s="23"/>
    </row>
    <row r="403" spans="1:5" ht="16.5" customHeight="1">
      <c r="A403" s="1"/>
      <c r="B403" s="1"/>
      <c r="C403" s="1"/>
      <c r="D403" s="1"/>
      <c r="E403" s="23"/>
    </row>
    <row r="404" spans="1:5" ht="16.5" customHeight="1">
      <c r="A404" s="1"/>
      <c r="B404" s="1"/>
      <c r="C404" s="1"/>
      <c r="D404" s="1"/>
      <c r="E404" s="23"/>
    </row>
    <row r="405" spans="1:5" ht="16.5" customHeight="1">
      <c r="A405" s="1"/>
      <c r="B405" s="1"/>
      <c r="C405" s="1"/>
      <c r="D405" s="1"/>
      <c r="E405" s="23"/>
    </row>
    <row r="406" spans="1:5" ht="16.5" customHeight="1">
      <c r="A406" s="1"/>
      <c r="B406" s="1"/>
      <c r="C406" s="1"/>
      <c r="D406" s="1"/>
      <c r="E406" s="23"/>
    </row>
    <row r="407" spans="1:5" ht="16.5" customHeight="1">
      <c r="A407" s="1"/>
      <c r="B407" s="1"/>
      <c r="C407" s="1"/>
      <c r="D407" s="1"/>
      <c r="E407" s="23"/>
    </row>
    <row r="408" spans="1:5" ht="16.5" customHeight="1">
      <c r="A408" s="1"/>
      <c r="B408" s="1"/>
      <c r="C408" s="1"/>
      <c r="D408" s="1"/>
      <c r="E408" s="23"/>
    </row>
    <row r="409" spans="1:5" ht="16.5" customHeight="1">
      <c r="A409" s="1"/>
      <c r="B409" s="1"/>
      <c r="C409" s="1"/>
      <c r="D409" s="1"/>
      <c r="E409" s="23"/>
    </row>
    <row r="410" spans="1:5" ht="16.5" customHeight="1">
      <c r="A410" s="1"/>
      <c r="B410" s="1"/>
      <c r="C410" s="1"/>
      <c r="D410" s="1"/>
      <c r="E410" s="23"/>
    </row>
    <row r="411" spans="1:5" ht="16.5" customHeight="1">
      <c r="A411" s="1"/>
      <c r="B411" s="1"/>
      <c r="C411" s="1"/>
      <c r="D411" s="1"/>
      <c r="E411" s="23"/>
    </row>
    <row r="412" spans="1:5" ht="16.5" customHeight="1">
      <c r="A412" s="1"/>
      <c r="B412" s="1"/>
      <c r="C412" s="1"/>
      <c r="D412" s="1"/>
      <c r="E412" s="23"/>
    </row>
    <row r="413" spans="1:5" ht="16.5" customHeight="1">
      <c r="A413" s="1"/>
      <c r="B413" s="1"/>
      <c r="C413" s="1"/>
      <c r="D413" s="1"/>
      <c r="E413" s="23"/>
    </row>
    <row r="414" spans="1:5" ht="16.5" customHeight="1">
      <c r="A414" s="1"/>
      <c r="B414" s="1"/>
      <c r="C414" s="1"/>
      <c r="D414" s="1"/>
      <c r="E414" s="23"/>
    </row>
    <row r="415" spans="1:5" ht="16.5" customHeight="1">
      <c r="A415" s="1"/>
      <c r="B415" s="1"/>
      <c r="C415" s="1"/>
      <c r="D415" s="1"/>
      <c r="E415" s="23"/>
    </row>
    <row r="416" spans="1:5" ht="16.5" customHeight="1">
      <c r="A416" s="1"/>
      <c r="B416" s="1"/>
      <c r="C416" s="1"/>
      <c r="D416" s="1"/>
      <c r="E416" s="23"/>
    </row>
    <row r="417" spans="1:5" ht="16.5" customHeight="1">
      <c r="A417" s="1"/>
      <c r="B417" s="1"/>
      <c r="C417" s="1"/>
      <c r="D417" s="1"/>
      <c r="E417" s="23"/>
    </row>
    <row r="418" spans="1:5" ht="16.5" customHeight="1">
      <c r="A418" s="1"/>
      <c r="B418" s="1"/>
      <c r="C418" s="1"/>
      <c r="D418" s="1"/>
      <c r="E418" s="23"/>
    </row>
    <row r="419" spans="1:5" ht="16.5" customHeight="1">
      <c r="A419" s="1"/>
      <c r="B419" s="1"/>
      <c r="C419" s="1"/>
      <c r="D419" s="1"/>
      <c r="E419" s="23"/>
    </row>
    <row r="420" spans="1:5" ht="16.5" customHeight="1">
      <c r="A420" s="1"/>
      <c r="B420" s="1"/>
      <c r="C420" s="1"/>
      <c r="D420" s="1"/>
      <c r="E420" s="23"/>
    </row>
    <row r="421" spans="1:5" ht="16.5" customHeight="1">
      <c r="A421" s="1"/>
      <c r="B421" s="1"/>
      <c r="C421" s="1"/>
      <c r="D421" s="1"/>
      <c r="E421" s="23"/>
    </row>
    <row r="422" spans="1:5" ht="16.5" customHeight="1">
      <c r="A422" s="1"/>
      <c r="B422" s="1"/>
      <c r="C422" s="1"/>
      <c r="D422" s="1"/>
      <c r="E422" s="23"/>
    </row>
    <row r="423" spans="1:5" ht="16.5" customHeight="1">
      <c r="A423" s="1"/>
      <c r="B423" s="1"/>
      <c r="C423" s="1"/>
      <c r="D423" s="1"/>
      <c r="E423" s="23"/>
    </row>
    <row r="424" spans="1:5" ht="16.5" customHeight="1">
      <c r="A424" s="1"/>
      <c r="B424" s="1"/>
      <c r="C424" s="1"/>
      <c r="D424" s="1"/>
      <c r="E424" s="23"/>
    </row>
    <row r="425" spans="1:5" ht="16.5" customHeight="1">
      <c r="A425" s="1"/>
      <c r="B425" s="1"/>
      <c r="C425" s="1"/>
      <c r="D425" s="1"/>
      <c r="E425" s="23"/>
    </row>
    <row r="426" spans="1:5" ht="16.5" customHeight="1">
      <c r="A426" s="1"/>
      <c r="B426" s="1"/>
      <c r="C426" s="1"/>
      <c r="D426" s="1"/>
      <c r="E426" s="23"/>
    </row>
    <row r="427" spans="1:5" ht="16.5" customHeight="1">
      <c r="A427" s="1"/>
      <c r="B427" s="1"/>
      <c r="C427" s="1"/>
      <c r="D427" s="1"/>
      <c r="E427" s="23"/>
    </row>
    <row r="428" spans="1:5" ht="16.5" customHeight="1">
      <c r="A428" s="1"/>
      <c r="B428" s="1"/>
      <c r="C428" s="1"/>
      <c r="D428" s="1"/>
      <c r="E428" s="23"/>
    </row>
    <row r="429" spans="1:5" ht="16.5" customHeight="1">
      <c r="A429" s="1"/>
      <c r="B429" s="1"/>
      <c r="C429" s="1"/>
      <c r="D429" s="1"/>
      <c r="E429" s="23"/>
    </row>
    <row r="430" spans="1:5" ht="16.5" customHeight="1">
      <c r="A430" s="1"/>
      <c r="B430" s="1"/>
      <c r="C430" s="1"/>
      <c r="D430" s="1"/>
      <c r="E430" s="23"/>
    </row>
    <row r="431" spans="1:5" ht="16.5" customHeight="1">
      <c r="A431" s="1"/>
      <c r="B431" s="1"/>
      <c r="C431" s="1"/>
      <c r="D431" s="1"/>
      <c r="E431" s="23"/>
    </row>
    <row r="432" spans="1:5" ht="16.5" customHeight="1">
      <c r="A432" s="1"/>
      <c r="B432" s="1"/>
      <c r="C432" s="1"/>
      <c r="D432" s="1"/>
      <c r="E432" s="23"/>
    </row>
    <row r="433" spans="1:5" ht="16.5" customHeight="1">
      <c r="A433" s="1"/>
      <c r="B433" s="1"/>
      <c r="C433" s="1"/>
      <c r="D433" s="1"/>
      <c r="E433" s="23"/>
    </row>
    <row r="434" spans="1:5" ht="16.5" customHeight="1">
      <c r="A434" s="1"/>
      <c r="B434" s="1"/>
      <c r="C434" s="1"/>
      <c r="D434" s="1"/>
      <c r="E434" s="23"/>
    </row>
    <row r="435" spans="1:5" ht="16.5" customHeight="1">
      <c r="A435" s="1"/>
      <c r="B435" s="1"/>
      <c r="C435" s="1"/>
      <c r="D435" s="1"/>
      <c r="E435" s="23"/>
    </row>
    <row r="436" spans="1:5" ht="16.5" customHeight="1">
      <c r="A436" s="1"/>
      <c r="B436" s="1"/>
      <c r="C436" s="1"/>
      <c r="D436" s="1"/>
      <c r="E436" s="23"/>
    </row>
    <row r="437" spans="1:5" ht="16.5" customHeight="1">
      <c r="A437" s="1"/>
      <c r="B437" s="1"/>
      <c r="C437" s="1"/>
      <c r="D437" s="1"/>
      <c r="E437" s="23"/>
    </row>
    <row r="438" spans="1:5" ht="16.5" customHeight="1">
      <c r="A438" s="1"/>
      <c r="B438" s="1"/>
      <c r="C438" s="1"/>
      <c r="D438" s="1"/>
      <c r="E438" s="23"/>
    </row>
    <row r="439" spans="1:5" ht="16.5" customHeight="1">
      <c r="A439" s="1"/>
      <c r="B439" s="1"/>
      <c r="C439" s="1"/>
      <c r="D439" s="1"/>
      <c r="E439" s="23"/>
    </row>
    <row r="440" spans="1:5" ht="16.5" customHeight="1">
      <c r="A440" s="1"/>
      <c r="B440" s="1"/>
      <c r="C440" s="1"/>
      <c r="D440" s="1"/>
      <c r="E440" s="23"/>
    </row>
    <row r="441" spans="1:5" ht="16.5" customHeight="1">
      <c r="A441" s="1"/>
      <c r="B441" s="1"/>
      <c r="C441" s="1"/>
      <c r="D441" s="1"/>
      <c r="E441" s="23"/>
    </row>
    <row r="442" spans="1:5" ht="16.5" customHeight="1">
      <c r="A442" s="1"/>
      <c r="B442" s="1"/>
      <c r="C442" s="1"/>
      <c r="D442" s="1"/>
      <c r="E442" s="23"/>
    </row>
    <row r="443" spans="1:5" ht="16.5" customHeight="1">
      <c r="A443" s="1"/>
      <c r="B443" s="1"/>
      <c r="C443" s="1"/>
      <c r="D443" s="1"/>
      <c r="E443" s="23"/>
    </row>
    <row r="444" spans="1:5" ht="16.5" customHeight="1">
      <c r="A444" s="1"/>
      <c r="B444" s="1"/>
      <c r="C444" s="1"/>
      <c r="D444" s="1"/>
      <c r="E444" s="23"/>
    </row>
    <row r="445" spans="1:5" ht="16.5" customHeight="1">
      <c r="A445" s="1"/>
      <c r="B445" s="1"/>
      <c r="C445" s="1"/>
      <c r="D445" s="1"/>
      <c r="E445" s="23"/>
    </row>
    <row r="446" spans="1:5" ht="16.5" customHeight="1">
      <c r="A446" s="1"/>
      <c r="B446" s="1"/>
      <c r="C446" s="1"/>
      <c r="D446" s="1"/>
      <c r="E446" s="23"/>
    </row>
    <row r="447" spans="1:5" ht="16.5" customHeight="1">
      <c r="A447" s="1"/>
      <c r="B447" s="1"/>
      <c r="C447" s="1"/>
      <c r="D447" s="1"/>
      <c r="E447" s="23"/>
    </row>
    <row r="448" spans="1:5" ht="16.5" customHeight="1">
      <c r="A448" s="1"/>
      <c r="B448" s="1"/>
      <c r="C448" s="1"/>
      <c r="D448" s="1"/>
      <c r="E448" s="23"/>
    </row>
    <row r="449" spans="1:5" ht="16.5" customHeight="1">
      <c r="A449" s="1"/>
      <c r="B449" s="1"/>
      <c r="C449" s="1"/>
      <c r="D449" s="1"/>
      <c r="E449" s="23"/>
    </row>
    <row r="450" spans="1:5" ht="16.5" customHeight="1">
      <c r="A450" s="1"/>
      <c r="B450" s="1"/>
      <c r="C450" s="1"/>
      <c r="D450" s="1"/>
      <c r="E450" s="23"/>
    </row>
    <row r="451" spans="1:5" ht="16.5" customHeight="1">
      <c r="A451" s="1"/>
      <c r="B451" s="1"/>
      <c r="C451" s="1"/>
      <c r="D451" s="1"/>
      <c r="E451" s="23"/>
    </row>
    <row r="452" spans="1:5" ht="16.5" customHeight="1">
      <c r="A452" s="1"/>
      <c r="B452" s="1"/>
      <c r="C452" s="1"/>
      <c r="D452" s="1"/>
      <c r="E452" s="23"/>
    </row>
    <row r="453" spans="1:5" ht="16.5" customHeight="1">
      <c r="A453" s="1"/>
      <c r="B453" s="1"/>
      <c r="C453" s="1"/>
      <c r="D453" s="1"/>
      <c r="E453" s="23"/>
    </row>
    <row r="454" spans="1:5" ht="16.5" customHeight="1">
      <c r="A454" s="1"/>
      <c r="B454" s="1"/>
      <c r="C454" s="1"/>
      <c r="D454" s="1"/>
      <c r="E454" s="23"/>
    </row>
    <row r="455" spans="1:5" ht="16.5" customHeight="1">
      <c r="A455" s="1"/>
      <c r="B455" s="1"/>
      <c r="C455" s="1"/>
      <c r="D455" s="1"/>
      <c r="E455" s="23"/>
    </row>
    <row r="456" spans="1:5" ht="16.5" customHeight="1">
      <c r="A456" s="1"/>
      <c r="B456" s="1"/>
      <c r="C456" s="1"/>
      <c r="D456" s="1"/>
      <c r="E456" s="23"/>
    </row>
    <row r="457" spans="1:5" ht="16.5" customHeight="1">
      <c r="A457" s="1"/>
      <c r="B457" s="1"/>
      <c r="C457" s="1"/>
      <c r="D457" s="1"/>
      <c r="E457" s="23"/>
    </row>
    <row r="458" spans="1:5" ht="16.5" customHeight="1">
      <c r="A458" s="1"/>
      <c r="B458" s="1"/>
      <c r="C458" s="1"/>
      <c r="D458" s="1"/>
      <c r="E458" s="23"/>
    </row>
    <row r="459" spans="1:5" ht="16.5" customHeight="1">
      <c r="A459" s="1"/>
      <c r="B459" s="1"/>
      <c r="C459" s="1"/>
      <c r="D459" s="1"/>
      <c r="E459" s="23"/>
    </row>
    <row r="460" spans="1:5" ht="16.5" customHeight="1">
      <c r="A460" s="1"/>
      <c r="B460" s="1"/>
      <c r="C460" s="1"/>
      <c r="D460" s="1"/>
      <c r="E460" s="23"/>
    </row>
    <row r="461" spans="1:5" ht="16.5" customHeight="1">
      <c r="A461" s="1"/>
      <c r="B461" s="1"/>
      <c r="C461" s="1"/>
      <c r="D461" s="1"/>
      <c r="E461" s="23"/>
    </row>
    <row r="462" spans="1:5" ht="16.5" customHeight="1">
      <c r="A462" s="1"/>
      <c r="B462" s="1"/>
      <c r="C462" s="1"/>
      <c r="D462" s="1"/>
      <c r="E462" s="23"/>
    </row>
    <row r="463" spans="1:5" ht="16.5" customHeight="1">
      <c r="A463" s="1"/>
      <c r="B463" s="1"/>
      <c r="C463" s="1"/>
      <c r="D463" s="1"/>
      <c r="E463" s="23"/>
    </row>
    <row r="464" spans="1:5" ht="16.5" customHeight="1">
      <c r="A464" s="1"/>
      <c r="B464" s="1"/>
      <c r="C464" s="1"/>
      <c r="D464" s="1"/>
      <c r="E464" s="23"/>
    </row>
    <row r="465" spans="1:5" ht="16.5" customHeight="1">
      <c r="A465" s="1"/>
      <c r="B465" s="1"/>
      <c r="C465" s="1"/>
      <c r="D465" s="1"/>
      <c r="E465" s="23"/>
    </row>
    <row r="466" spans="1:5" ht="16.5" customHeight="1">
      <c r="A466" s="1"/>
      <c r="B466" s="1"/>
      <c r="C466" s="1"/>
      <c r="D466" s="1"/>
      <c r="E466" s="23"/>
    </row>
    <row r="467" spans="1:5" ht="16.5" customHeight="1">
      <c r="A467" s="1"/>
      <c r="B467" s="1"/>
      <c r="C467" s="1"/>
      <c r="D467" s="1"/>
      <c r="E467" s="23"/>
    </row>
    <row r="468" spans="1:5" ht="16.5" customHeight="1">
      <c r="A468" s="1"/>
      <c r="B468" s="1"/>
      <c r="C468" s="1"/>
      <c r="D468" s="1"/>
      <c r="E468" s="23"/>
    </row>
    <row r="469" spans="1:5" ht="16.5" customHeight="1">
      <c r="A469" s="1"/>
      <c r="B469" s="1"/>
      <c r="C469" s="1"/>
      <c r="D469" s="1"/>
      <c r="E469" s="23"/>
    </row>
    <row r="470" spans="1:5" ht="16.5" customHeight="1">
      <c r="A470" s="1"/>
      <c r="B470" s="1"/>
      <c r="C470" s="1"/>
      <c r="D470" s="1"/>
      <c r="E470" s="23"/>
    </row>
    <row r="471" spans="1:5" ht="16.5" customHeight="1">
      <c r="A471" s="1"/>
      <c r="B471" s="1"/>
      <c r="C471" s="1"/>
      <c r="D471" s="1"/>
      <c r="E471" s="23"/>
    </row>
    <row r="472" spans="1:5" ht="16.5" customHeight="1">
      <c r="A472" s="1"/>
      <c r="B472" s="1"/>
      <c r="C472" s="1"/>
      <c r="D472" s="1"/>
      <c r="E472" s="23"/>
    </row>
    <row r="473" spans="1:5" ht="16.5" customHeight="1">
      <c r="A473" s="1"/>
      <c r="B473" s="1"/>
      <c r="C473" s="1"/>
      <c r="D473" s="1"/>
      <c r="E473" s="23"/>
    </row>
    <row r="474" spans="1:5" ht="16.5" customHeight="1">
      <c r="A474" s="1"/>
      <c r="B474" s="1"/>
      <c r="C474" s="1"/>
      <c r="D474" s="1"/>
      <c r="E474" s="23"/>
    </row>
    <row r="475" spans="1:5" ht="16.5" customHeight="1">
      <c r="A475" s="1"/>
      <c r="B475" s="1"/>
      <c r="C475" s="1"/>
      <c r="D475" s="1"/>
      <c r="E475" s="23"/>
    </row>
    <row r="476" spans="1:5" ht="16.5" customHeight="1">
      <c r="A476" s="1"/>
      <c r="B476" s="1"/>
      <c r="C476" s="1"/>
      <c r="D476" s="1"/>
      <c r="E476" s="23"/>
    </row>
    <row r="477" spans="1:5" ht="16.5" customHeight="1">
      <c r="A477" s="1"/>
      <c r="B477" s="1"/>
      <c r="C477" s="1"/>
      <c r="D477" s="1"/>
      <c r="E477" s="23"/>
    </row>
    <row r="478" spans="1:5" ht="16.5" customHeight="1">
      <c r="A478" s="1"/>
      <c r="B478" s="1"/>
      <c r="C478" s="1"/>
      <c r="D478" s="1"/>
      <c r="E478" s="23"/>
    </row>
    <row r="479" spans="1:5" ht="16.5" customHeight="1">
      <c r="A479" s="1"/>
      <c r="B479" s="1"/>
      <c r="C479" s="1"/>
      <c r="D479" s="1"/>
      <c r="E479" s="23"/>
    </row>
    <row r="480" spans="1:5" ht="16.5" customHeight="1">
      <c r="A480" s="1"/>
      <c r="B480" s="1"/>
      <c r="C480" s="1"/>
      <c r="D480" s="1"/>
      <c r="E480" s="23"/>
    </row>
    <row r="481" spans="1:5" ht="16.5" customHeight="1">
      <c r="A481" s="1"/>
      <c r="B481" s="1"/>
      <c r="C481" s="1"/>
      <c r="D481" s="1"/>
      <c r="E481" s="23"/>
    </row>
    <row r="482" spans="1:5" ht="16.5" customHeight="1">
      <c r="A482" s="1"/>
      <c r="B482" s="1"/>
      <c r="C482" s="1"/>
      <c r="D482" s="1"/>
      <c r="E482" s="23"/>
    </row>
    <row r="483" spans="1:5" ht="16.5" customHeight="1">
      <c r="A483" s="1"/>
      <c r="B483" s="1"/>
      <c r="C483" s="1"/>
      <c r="D483" s="1"/>
      <c r="E483" s="23"/>
    </row>
    <row r="484" spans="1:5" ht="16.5" customHeight="1">
      <c r="A484" s="1"/>
      <c r="B484" s="1"/>
      <c r="C484" s="1"/>
      <c r="D484" s="1"/>
      <c r="E484" s="23"/>
    </row>
    <row r="485" spans="1:5" ht="16.5" customHeight="1">
      <c r="A485" s="1"/>
      <c r="B485" s="1"/>
      <c r="C485" s="1"/>
      <c r="D485" s="1"/>
      <c r="E485" s="23"/>
    </row>
    <row r="486" spans="1:5" ht="16.5" customHeight="1">
      <c r="A486" s="1"/>
      <c r="B486" s="1"/>
      <c r="C486" s="1"/>
      <c r="D486" s="1"/>
      <c r="E486" s="23"/>
    </row>
    <row r="487" spans="1:5" ht="16.5" customHeight="1">
      <c r="A487" s="1"/>
      <c r="B487" s="1"/>
      <c r="C487" s="1"/>
      <c r="D487" s="1"/>
      <c r="E487" s="23"/>
    </row>
    <row r="488" spans="1:5" ht="16.5" customHeight="1">
      <c r="A488" s="1"/>
      <c r="B488" s="1"/>
      <c r="C488" s="1"/>
      <c r="D488" s="1"/>
      <c r="E488" s="23"/>
    </row>
    <row r="489" spans="1:5" ht="16.5" customHeight="1">
      <c r="A489" s="1"/>
      <c r="B489" s="1"/>
      <c r="C489" s="1"/>
      <c r="D489" s="1"/>
      <c r="E489" s="23"/>
    </row>
    <row r="490" spans="1:5" ht="16.5" customHeight="1">
      <c r="A490" s="1"/>
      <c r="B490" s="1"/>
      <c r="C490" s="1"/>
      <c r="D490" s="1"/>
      <c r="E490" s="23"/>
    </row>
    <row r="491" spans="1:5" ht="16.5" customHeight="1">
      <c r="A491" s="1"/>
      <c r="B491" s="1"/>
      <c r="C491" s="1"/>
      <c r="D491" s="1"/>
      <c r="E491" s="23"/>
    </row>
    <row r="492" spans="1:5" ht="16.5" customHeight="1">
      <c r="A492" s="1"/>
      <c r="B492" s="1"/>
      <c r="C492" s="1"/>
      <c r="D492" s="1"/>
      <c r="E492" s="23"/>
    </row>
    <row r="493" spans="1:5" ht="16.5" customHeight="1">
      <c r="A493" s="1"/>
      <c r="B493" s="1"/>
      <c r="C493" s="1"/>
      <c r="D493" s="1"/>
      <c r="E493" s="23"/>
    </row>
    <row r="494" spans="1:5" ht="16.5" customHeight="1">
      <c r="A494" s="1"/>
      <c r="B494" s="1"/>
      <c r="C494" s="1"/>
      <c r="D494" s="1"/>
      <c r="E494" s="23"/>
    </row>
    <row r="495" spans="1:5" ht="16.5" customHeight="1">
      <c r="A495" s="1"/>
      <c r="B495" s="1"/>
      <c r="C495" s="1"/>
      <c r="D495" s="1"/>
      <c r="E495" s="23"/>
    </row>
    <row r="496" spans="1:5" ht="16.5" customHeight="1">
      <c r="A496" s="1"/>
      <c r="B496" s="1"/>
      <c r="C496" s="1"/>
      <c r="D496" s="1"/>
      <c r="E496" s="23"/>
    </row>
    <row r="497" spans="1:5" ht="16.5" customHeight="1">
      <c r="A497" s="1"/>
      <c r="B497" s="1"/>
      <c r="C497" s="1"/>
      <c r="D497" s="1"/>
      <c r="E497" s="23"/>
    </row>
    <row r="498" spans="1:5" ht="16.5" customHeight="1">
      <c r="A498" s="1"/>
      <c r="B498" s="1"/>
      <c r="C498" s="1"/>
      <c r="D498" s="1"/>
      <c r="E498" s="23"/>
    </row>
    <row r="499" spans="1:5" ht="16.5" customHeight="1">
      <c r="A499" s="1"/>
      <c r="B499" s="1"/>
      <c r="C499" s="1"/>
      <c r="D499" s="1"/>
      <c r="E499" s="23"/>
    </row>
    <row r="500" spans="1:5" ht="16.5" customHeight="1">
      <c r="A500" s="1"/>
      <c r="B500" s="1"/>
      <c r="C500" s="1"/>
      <c r="D500" s="1"/>
      <c r="E500" s="23"/>
    </row>
    <row r="501" spans="1:5" ht="16.5" customHeight="1">
      <c r="A501" s="1"/>
      <c r="B501" s="1"/>
      <c r="C501" s="1"/>
      <c r="D501" s="1"/>
      <c r="E501" s="23"/>
    </row>
    <row r="502" spans="1:5" ht="16.5" customHeight="1">
      <c r="A502" s="1"/>
      <c r="B502" s="1"/>
      <c r="C502" s="1"/>
      <c r="D502" s="1"/>
      <c r="E502" s="23"/>
    </row>
    <row r="503" spans="1:5" ht="16.5" customHeight="1">
      <c r="A503" s="1"/>
      <c r="B503" s="1"/>
      <c r="C503" s="1"/>
      <c r="D503" s="1"/>
      <c r="E503" s="23"/>
    </row>
    <row r="504" spans="1:5" ht="16.5" customHeight="1">
      <c r="A504" s="1"/>
      <c r="B504" s="1"/>
      <c r="C504" s="1"/>
      <c r="D504" s="1"/>
      <c r="E504" s="23"/>
    </row>
    <row r="505" spans="1:5" ht="16.5" customHeight="1">
      <c r="A505" s="1"/>
      <c r="B505" s="1"/>
      <c r="C505" s="1"/>
      <c r="D505" s="1"/>
      <c r="E505" s="23"/>
    </row>
    <row r="506" spans="1:5" ht="16.5" customHeight="1">
      <c r="A506" s="1"/>
      <c r="B506" s="1"/>
      <c r="C506" s="1"/>
      <c r="D506" s="1"/>
      <c r="E506" s="23"/>
    </row>
    <row r="507" spans="1:5" ht="16.5" customHeight="1">
      <c r="A507" s="1"/>
      <c r="B507" s="1"/>
      <c r="C507" s="1"/>
      <c r="D507" s="1"/>
      <c r="E507" s="23"/>
    </row>
    <row r="508" spans="1:5" ht="16.5" customHeight="1">
      <c r="A508" s="1"/>
      <c r="B508" s="1"/>
      <c r="C508" s="1"/>
      <c r="D508" s="1"/>
      <c r="E508" s="23"/>
    </row>
    <row r="509" spans="1:5" ht="16.5" customHeight="1">
      <c r="A509" s="1"/>
      <c r="B509" s="1"/>
      <c r="C509" s="1"/>
      <c r="D509" s="1"/>
      <c r="E509" s="23"/>
    </row>
    <row r="510" spans="1:5" ht="16.5" customHeight="1">
      <c r="A510" s="1"/>
      <c r="B510" s="1"/>
      <c r="C510" s="1"/>
      <c r="D510" s="1"/>
      <c r="E510" s="23"/>
    </row>
    <row r="511" spans="1:5" ht="16.5" customHeight="1">
      <c r="A511" s="1"/>
      <c r="B511" s="1"/>
      <c r="C511" s="1"/>
      <c r="D511" s="1"/>
      <c r="E511" s="23"/>
    </row>
    <row r="512" spans="1:5" ht="16.5" customHeight="1">
      <c r="A512" s="1"/>
      <c r="B512" s="1"/>
      <c r="C512" s="1"/>
      <c r="D512" s="1"/>
      <c r="E512" s="23"/>
    </row>
    <row r="513" spans="1:5" ht="16.5" customHeight="1">
      <c r="A513" s="1"/>
      <c r="B513" s="1"/>
      <c r="C513" s="1"/>
      <c r="D513" s="1"/>
      <c r="E513" s="23"/>
    </row>
    <row r="514" spans="1:5" ht="16.5" customHeight="1">
      <c r="A514" s="1"/>
      <c r="B514" s="1"/>
      <c r="C514" s="1"/>
      <c r="D514" s="1"/>
      <c r="E514" s="23"/>
    </row>
    <row r="515" spans="1:5" ht="16.5" customHeight="1">
      <c r="A515" s="1"/>
      <c r="B515" s="1"/>
      <c r="C515" s="1"/>
      <c r="D515" s="1"/>
      <c r="E515" s="23"/>
    </row>
    <row r="516" spans="1:5" ht="16.5" customHeight="1">
      <c r="A516" s="1"/>
      <c r="B516" s="1"/>
      <c r="C516" s="1"/>
      <c r="D516" s="1"/>
      <c r="E516" s="23"/>
    </row>
    <row r="517" spans="1:5" ht="16.5" customHeight="1">
      <c r="A517" s="1"/>
      <c r="B517" s="1"/>
      <c r="C517" s="1"/>
      <c r="D517" s="1"/>
      <c r="E517" s="23"/>
    </row>
    <row r="518" spans="1:5" ht="16.5" customHeight="1">
      <c r="A518" s="1"/>
      <c r="B518" s="1"/>
      <c r="C518" s="1"/>
      <c r="D518" s="1"/>
      <c r="E518" s="23"/>
    </row>
    <row r="519" spans="1:5" ht="16.5" customHeight="1">
      <c r="A519" s="1"/>
      <c r="B519" s="1"/>
      <c r="C519" s="1"/>
      <c r="D519" s="1"/>
      <c r="E519" s="23"/>
    </row>
    <row r="520" spans="1:5" ht="16.5" customHeight="1">
      <c r="A520" s="1"/>
      <c r="B520" s="1"/>
      <c r="C520" s="1"/>
      <c r="D520" s="1"/>
      <c r="E520" s="23"/>
    </row>
    <row r="521" spans="1:5" ht="16.5" customHeight="1">
      <c r="A521" s="1"/>
      <c r="B521" s="1"/>
      <c r="C521" s="1"/>
      <c r="D521" s="1"/>
      <c r="E521" s="23"/>
    </row>
    <row r="522" spans="1:5" ht="16.5" customHeight="1">
      <c r="A522" s="1"/>
      <c r="B522" s="1"/>
      <c r="C522" s="1"/>
      <c r="D522" s="1"/>
      <c r="E522" s="23"/>
    </row>
    <row r="523" spans="1:5" ht="16.5" customHeight="1">
      <c r="A523" s="1"/>
      <c r="B523" s="1"/>
      <c r="C523" s="1"/>
      <c r="D523" s="1"/>
      <c r="E523" s="23"/>
    </row>
    <row r="524" spans="1:5" ht="16.5" customHeight="1">
      <c r="A524" s="1"/>
      <c r="B524" s="1"/>
      <c r="C524" s="1"/>
      <c r="D524" s="1"/>
      <c r="E524" s="23"/>
    </row>
    <row r="525" spans="1:5" ht="16.5" customHeight="1">
      <c r="A525" s="1"/>
      <c r="B525" s="1"/>
      <c r="C525" s="1"/>
      <c r="D525" s="1"/>
      <c r="E525" s="23"/>
    </row>
    <row r="526" spans="1:5" ht="16.5" customHeight="1">
      <c r="A526" s="1"/>
      <c r="B526" s="1"/>
      <c r="C526" s="1"/>
      <c r="D526" s="1"/>
      <c r="E526" s="23"/>
    </row>
    <row r="527" spans="1:5" ht="16.5" customHeight="1">
      <c r="A527" s="1"/>
      <c r="B527" s="1"/>
      <c r="C527" s="1"/>
      <c r="D527" s="1"/>
      <c r="E527" s="23"/>
    </row>
    <row r="528" spans="1:5" ht="16.5" customHeight="1">
      <c r="A528" s="1"/>
      <c r="B528" s="1"/>
      <c r="C528" s="1"/>
      <c r="D528" s="1"/>
      <c r="E528" s="23"/>
    </row>
    <row r="529" spans="1:5" ht="16.5" customHeight="1">
      <c r="A529" s="1"/>
      <c r="B529" s="1"/>
      <c r="C529" s="1"/>
      <c r="D529" s="1"/>
      <c r="E529" s="23"/>
    </row>
    <row r="530" spans="1:5" ht="16.5" customHeight="1">
      <c r="A530" s="1"/>
      <c r="B530" s="1"/>
      <c r="C530" s="1"/>
      <c r="D530" s="1"/>
      <c r="E530" s="23"/>
    </row>
    <row r="531" spans="1:5" ht="16.5" customHeight="1">
      <c r="A531" s="1"/>
      <c r="B531" s="1"/>
      <c r="C531" s="1"/>
      <c r="D531" s="1"/>
      <c r="E531" s="23"/>
    </row>
    <row r="532" spans="1:5" ht="16.5" customHeight="1">
      <c r="A532" s="1"/>
      <c r="B532" s="1"/>
      <c r="C532" s="1"/>
      <c r="D532" s="1"/>
      <c r="E532" s="23"/>
    </row>
    <row r="533" spans="1:5" ht="16.5" customHeight="1">
      <c r="A533" s="1"/>
      <c r="B533" s="1"/>
      <c r="C533" s="1"/>
      <c r="D533" s="1"/>
      <c r="E533" s="23"/>
    </row>
    <row r="534" spans="1:5" ht="16.5" customHeight="1">
      <c r="A534" s="1"/>
      <c r="B534" s="1"/>
      <c r="C534" s="1"/>
      <c r="D534" s="1"/>
      <c r="E534" s="23"/>
    </row>
    <row r="535" spans="1:5" ht="16.5" customHeight="1">
      <c r="A535" s="1"/>
      <c r="B535" s="1"/>
      <c r="C535" s="1"/>
      <c r="D535" s="1"/>
      <c r="E535" s="23"/>
    </row>
    <row r="536" spans="1:5" ht="16.5" customHeight="1">
      <c r="A536" s="1"/>
      <c r="B536" s="1"/>
      <c r="C536" s="1"/>
      <c r="D536" s="1"/>
      <c r="E536" s="23"/>
    </row>
    <row r="537" spans="1:5" ht="16.5" customHeight="1">
      <c r="A537" s="1"/>
      <c r="B537" s="1"/>
      <c r="C537" s="1"/>
      <c r="D537" s="1"/>
      <c r="E537" s="23"/>
    </row>
    <row r="538" spans="1:5" ht="16.5" customHeight="1">
      <c r="A538" s="1"/>
      <c r="B538" s="1"/>
      <c r="C538" s="1"/>
      <c r="D538" s="1"/>
      <c r="E538" s="23"/>
    </row>
    <row r="539" spans="1:5" ht="16.5" customHeight="1">
      <c r="A539" s="1"/>
      <c r="B539" s="1"/>
      <c r="C539" s="1"/>
      <c r="D539" s="1"/>
      <c r="E539" s="23"/>
    </row>
    <row r="540" spans="1:5" ht="16.5" customHeight="1">
      <c r="A540" s="1"/>
      <c r="B540" s="1"/>
      <c r="C540" s="1"/>
      <c r="D540" s="1"/>
      <c r="E540" s="23"/>
    </row>
    <row r="541" spans="1:5" ht="16.5" customHeight="1">
      <c r="A541" s="1"/>
      <c r="B541" s="1"/>
      <c r="C541" s="1"/>
      <c r="D541" s="1"/>
      <c r="E541" s="23"/>
    </row>
    <row r="542" spans="1:5" ht="16.5" customHeight="1">
      <c r="A542" s="1"/>
      <c r="B542" s="1"/>
      <c r="C542" s="1"/>
      <c r="D542" s="1"/>
      <c r="E542" s="23"/>
    </row>
    <row r="543" spans="1:5" ht="16.5" customHeight="1">
      <c r="A543" s="1"/>
      <c r="B543" s="1"/>
      <c r="C543" s="1"/>
      <c r="D543" s="1"/>
      <c r="E543" s="23"/>
    </row>
    <row r="544" spans="1:5" ht="16.5" customHeight="1">
      <c r="A544" s="1"/>
      <c r="B544" s="1"/>
      <c r="C544" s="1"/>
      <c r="D544" s="1"/>
      <c r="E544" s="23"/>
    </row>
    <row r="545" spans="1:5" ht="16.5" customHeight="1">
      <c r="A545" s="1"/>
      <c r="B545" s="1"/>
      <c r="C545" s="1"/>
      <c r="D545" s="1"/>
      <c r="E545" s="23"/>
    </row>
    <row r="546" spans="1:5" ht="16.5" customHeight="1">
      <c r="A546" s="1"/>
      <c r="B546" s="1"/>
      <c r="C546" s="1"/>
      <c r="D546" s="1"/>
      <c r="E546" s="23"/>
    </row>
    <row r="547" spans="1:5" ht="16.5" customHeight="1">
      <c r="A547" s="1"/>
      <c r="B547" s="1"/>
      <c r="C547" s="1"/>
      <c r="D547" s="1"/>
      <c r="E547" s="23"/>
    </row>
    <row r="548" spans="1:5" ht="16.5" customHeight="1">
      <c r="A548" s="1"/>
      <c r="B548" s="1"/>
      <c r="C548" s="1"/>
      <c r="D548" s="1"/>
      <c r="E548" s="23"/>
    </row>
    <row r="549" spans="1:5" ht="16.5" customHeight="1">
      <c r="A549" s="1"/>
      <c r="B549" s="1"/>
      <c r="C549" s="1"/>
      <c r="D549" s="1"/>
      <c r="E549" s="23"/>
    </row>
    <row r="550" spans="1:5" ht="16.5" customHeight="1">
      <c r="A550" s="1"/>
      <c r="B550" s="1"/>
      <c r="C550" s="1"/>
      <c r="D550" s="1"/>
      <c r="E550" s="23"/>
    </row>
    <row r="551" spans="1:5" ht="16.5" customHeight="1">
      <c r="A551" s="1"/>
      <c r="B551" s="1"/>
      <c r="C551" s="1"/>
      <c r="D551" s="1"/>
      <c r="E551" s="23"/>
    </row>
    <row r="552" spans="1:5" ht="16.5" customHeight="1">
      <c r="A552" s="1"/>
      <c r="B552" s="1"/>
      <c r="C552" s="1"/>
      <c r="D552" s="1"/>
      <c r="E552" s="23"/>
    </row>
    <row r="553" spans="1:5" ht="16.5" customHeight="1">
      <c r="A553" s="1"/>
      <c r="B553" s="1"/>
      <c r="C553" s="1"/>
      <c r="D553" s="1"/>
      <c r="E553" s="23"/>
    </row>
    <row r="554" spans="1:5" ht="16.5" customHeight="1">
      <c r="A554" s="1"/>
      <c r="B554" s="1"/>
      <c r="C554" s="1"/>
      <c r="D554" s="1"/>
      <c r="E554" s="23"/>
    </row>
    <row r="555" spans="1:5" ht="16.5" customHeight="1">
      <c r="A555" s="1"/>
      <c r="B555" s="1"/>
      <c r="C555" s="1"/>
      <c r="D555" s="1"/>
      <c r="E555" s="23"/>
    </row>
    <row r="556" spans="1:5" ht="16.5" customHeight="1">
      <c r="A556" s="1"/>
      <c r="B556" s="1"/>
      <c r="C556" s="1"/>
      <c r="D556" s="1"/>
      <c r="E556" s="23"/>
    </row>
    <row r="557" spans="1:5" ht="16.5" customHeight="1">
      <c r="A557" s="1"/>
      <c r="B557" s="1"/>
      <c r="C557" s="1"/>
      <c r="D557" s="1"/>
      <c r="E557" s="23"/>
    </row>
    <row r="558" spans="1:5" ht="16.5" customHeight="1">
      <c r="A558" s="1"/>
      <c r="B558" s="1"/>
      <c r="C558" s="1"/>
      <c r="D558" s="1"/>
      <c r="E558" s="23"/>
    </row>
    <row r="559" spans="1:5" ht="16.5" customHeight="1">
      <c r="A559" s="1"/>
      <c r="B559" s="1"/>
      <c r="C559" s="1"/>
      <c r="D559" s="1"/>
      <c r="E559" s="23"/>
    </row>
    <row r="560" spans="1:5" ht="16.5" customHeight="1">
      <c r="A560" s="1"/>
      <c r="B560" s="1"/>
      <c r="C560" s="1"/>
      <c r="D560" s="1"/>
      <c r="E560" s="23"/>
    </row>
    <row r="561" spans="1:5" ht="16.5" customHeight="1">
      <c r="A561" s="1"/>
      <c r="B561" s="1"/>
      <c r="C561" s="1"/>
      <c r="D561" s="1"/>
      <c r="E561" s="23"/>
    </row>
    <row r="562" spans="1:5" ht="16.5" customHeight="1">
      <c r="A562" s="1"/>
      <c r="B562" s="1"/>
      <c r="C562" s="1"/>
      <c r="D562" s="1"/>
      <c r="E562" s="23"/>
    </row>
    <row r="563" spans="1:5" ht="16.5" customHeight="1">
      <c r="A563" s="1"/>
      <c r="B563" s="1"/>
      <c r="C563" s="1"/>
      <c r="D563" s="1"/>
      <c r="E563" s="23"/>
    </row>
    <row r="564" spans="1:5" ht="16.5" customHeight="1">
      <c r="A564" s="1"/>
      <c r="B564" s="1"/>
      <c r="C564" s="1"/>
      <c r="D564" s="1"/>
      <c r="E564" s="23"/>
    </row>
    <row r="565" spans="1:5" ht="16.5" customHeight="1">
      <c r="A565" s="1"/>
      <c r="B565" s="1"/>
      <c r="C565" s="1"/>
      <c r="D565" s="1"/>
      <c r="E565" s="23"/>
    </row>
    <row r="566" spans="1:5" ht="16.5" customHeight="1">
      <c r="A566" s="1"/>
      <c r="B566" s="1"/>
      <c r="C566" s="1"/>
      <c r="D566" s="1"/>
      <c r="E566" s="23"/>
    </row>
    <row r="567" spans="1:5" ht="16.5" customHeight="1">
      <c r="A567" s="1"/>
      <c r="B567" s="1"/>
      <c r="C567" s="1"/>
      <c r="D567" s="1"/>
      <c r="E567" s="23"/>
    </row>
    <row r="568" spans="1:5" ht="16.5" customHeight="1">
      <c r="A568" s="1"/>
      <c r="B568" s="1"/>
      <c r="C568" s="1"/>
      <c r="D568" s="1"/>
      <c r="E568" s="23"/>
    </row>
    <row r="569" spans="1:5" ht="16.5" customHeight="1">
      <c r="A569" s="1"/>
      <c r="B569" s="1"/>
      <c r="C569" s="1"/>
      <c r="D569" s="1"/>
      <c r="E569" s="23"/>
    </row>
    <row r="570" spans="1:5" ht="16.5" customHeight="1">
      <c r="A570" s="1"/>
      <c r="B570" s="1"/>
      <c r="C570" s="1"/>
      <c r="D570" s="1"/>
      <c r="E570" s="23"/>
    </row>
    <row r="571" spans="1:5" ht="16.5" customHeight="1">
      <c r="A571" s="1"/>
      <c r="B571" s="1"/>
      <c r="C571" s="1"/>
      <c r="D571" s="1"/>
      <c r="E571" s="23"/>
    </row>
    <row r="572" spans="1:5" ht="16.5" customHeight="1">
      <c r="A572" s="1"/>
      <c r="B572" s="1"/>
      <c r="C572" s="1"/>
      <c r="D572" s="1"/>
      <c r="E572" s="23"/>
    </row>
    <row r="573" spans="1:5" ht="16.5" customHeight="1">
      <c r="A573" s="1"/>
      <c r="B573" s="1"/>
      <c r="C573" s="1"/>
      <c r="D573" s="1"/>
      <c r="E573" s="23"/>
    </row>
    <row r="574" spans="1:5" ht="16.5" customHeight="1">
      <c r="A574" s="1"/>
      <c r="B574" s="1"/>
      <c r="C574" s="1"/>
      <c r="D574" s="1"/>
      <c r="E574" s="23"/>
    </row>
    <row r="575" spans="1:5" ht="16.5" customHeight="1">
      <c r="A575" s="1"/>
      <c r="B575" s="1"/>
      <c r="C575" s="1"/>
      <c r="D575" s="1"/>
      <c r="E575" s="23"/>
    </row>
    <row r="576" spans="1:5" ht="16.5" customHeight="1">
      <c r="A576" s="1"/>
      <c r="B576" s="1"/>
      <c r="C576" s="1"/>
      <c r="D576" s="1"/>
      <c r="E576" s="23"/>
    </row>
    <row r="577" spans="1:5" ht="16.5" customHeight="1">
      <c r="A577" s="1"/>
      <c r="B577" s="1"/>
      <c r="C577" s="1"/>
      <c r="D577" s="1"/>
      <c r="E577" s="23"/>
    </row>
    <row r="578" spans="1:5" ht="16.5" customHeight="1">
      <c r="A578" s="1"/>
      <c r="B578" s="1"/>
      <c r="C578" s="1"/>
      <c r="D578" s="1"/>
      <c r="E578" s="23"/>
    </row>
    <row r="579" spans="1:5" ht="16.5" customHeight="1">
      <c r="A579" s="1"/>
      <c r="B579" s="1"/>
      <c r="C579" s="1"/>
      <c r="D579" s="1"/>
      <c r="E579" s="23"/>
    </row>
    <row r="580" spans="1:5" ht="16.5" customHeight="1">
      <c r="A580" s="1"/>
      <c r="B580" s="1"/>
      <c r="C580" s="1"/>
      <c r="D580" s="1"/>
      <c r="E580" s="23"/>
    </row>
    <row r="581" spans="1:5" ht="16.5" customHeight="1">
      <c r="A581" s="1"/>
      <c r="B581" s="1"/>
      <c r="C581" s="1"/>
      <c r="D581" s="1"/>
      <c r="E581" s="23"/>
    </row>
    <row r="582" spans="1:5" ht="16.5" customHeight="1">
      <c r="A582" s="1"/>
      <c r="B582" s="1"/>
      <c r="C582" s="1"/>
      <c r="D582" s="1"/>
      <c r="E582" s="23"/>
    </row>
    <row r="583" spans="1:5" ht="16.5" customHeight="1">
      <c r="A583" s="1"/>
      <c r="B583" s="1"/>
      <c r="C583" s="1"/>
      <c r="D583" s="1"/>
      <c r="E583" s="23"/>
    </row>
    <row r="584" spans="1:5" ht="16.5" customHeight="1">
      <c r="A584" s="1"/>
      <c r="B584" s="1"/>
      <c r="C584" s="1"/>
      <c r="D584" s="1"/>
      <c r="E584" s="23"/>
    </row>
    <row r="585" spans="1:5" ht="16.5" customHeight="1">
      <c r="A585" s="1"/>
      <c r="B585" s="1"/>
      <c r="C585" s="1"/>
      <c r="D585" s="1"/>
      <c r="E585" s="23"/>
    </row>
    <row r="586" spans="1:5" ht="16.5" customHeight="1">
      <c r="A586" s="1"/>
      <c r="B586" s="1"/>
      <c r="C586" s="1"/>
      <c r="D586" s="1"/>
      <c r="E586" s="23"/>
    </row>
    <row r="587" spans="1:5" ht="16.5" customHeight="1">
      <c r="A587" s="1"/>
      <c r="B587" s="1"/>
      <c r="C587" s="1"/>
      <c r="D587" s="1"/>
      <c r="E587" s="23"/>
    </row>
    <row r="588" spans="1:5" ht="16.5" customHeight="1">
      <c r="A588" s="1"/>
      <c r="B588" s="1"/>
      <c r="C588" s="1"/>
      <c r="D588" s="1"/>
      <c r="E588" s="23"/>
    </row>
    <row r="589" spans="1:5" ht="16.5" customHeight="1">
      <c r="A589" s="1"/>
      <c r="B589" s="1"/>
      <c r="C589" s="1"/>
      <c r="D589" s="1"/>
      <c r="E589" s="23"/>
    </row>
    <row r="590" spans="1:5" ht="16.5" customHeight="1">
      <c r="A590" s="1"/>
      <c r="B590" s="1"/>
      <c r="C590" s="1"/>
      <c r="D590" s="1"/>
      <c r="E590" s="23"/>
    </row>
    <row r="591" spans="1:5" ht="16.5" customHeight="1">
      <c r="A591" s="1"/>
      <c r="B591" s="1"/>
      <c r="C591" s="1"/>
      <c r="D591" s="1"/>
      <c r="E591" s="23"/>
    </row>
    <row r="592" spans="1:5" ht="16.5" customHeight="1">
      <c r="A592" s="1"/>
      <c r="B592" s="1"/>
      <c r="C592" s="1"/>
      <c r="D592" s="1"/>
      <c r="E592" s="23"/>
    </row>
    <row r="593" spans="1:5" ht="16.5" customHeight="1">
      <c r="A593" s="1"/>
      <c r="B593" s="1"/>
      <c r="C593" s="1"/>
      <c r="D593" s="1"/>
      <c r="E593" s="23"/>
    </row>
    <row r="594" spans="1:5" ht="16.5" customHeight="1">
      <c r="A594" s="1"/>
      <c r="B594" s="1"/>
      <c r="C594" s="1"/>
      <c r="D594" s="1"/>
      <c r="E594" s="23"/>
    </row>
    <row r="595" spans="1:5" ht="16.5" customHeight="1">
      <c r="A595" s="1"/>
      <c r="B595" s="1"/>
      <c r="C595" s="1"/>
      <c r="D595" s="1"/>
      <c r="E595" s="23"/>
    </row>
    <row r="596" spans="1:5" ht="16.5" customHeight="1">
      <c r="A596" s="1"/>
      <c r="B596" s="1"/>
      <c r="C596" s="1"/>
      <c r="D596" s="1"/>
      <c r="E596" s="23"/>
    </row>
    <row r="597" spans="1:5" ht="16.5" customHeight="1">
      <c r="A597" s="1"/>
      <c r="B597" s="1"/>
      <c r="C597" s="1"/>
      <c r="D597" s="1"/>
      <c r="E597" s="23"/>
    </row>
    <row r="598" spans="1:5" ht="16.5" customHeight="1">
      <c r="A598" s="1"/>
      <c r="B598" s="1"/>
      <c r="C598" s="1"/>
      <c r="D598" s="1"/>
      <c r="E598" s="23"/>
    </row>
    <row r="599" spans="1:5" ht="16.5" customHeight="1">
      <c r="A599" s="1"/>
      <c r="B599" s="1"/>
      <c r="C599" s="1"/>
      <c r="D599" s="1"/>
      <c r="E599" s="23"/>
    </row>
    <row r="600" spans="1:5" ht="16.5" customHeight="1">
      <c r="A600" s="1"/>
      <c r="B600" s="1"/>
      <c r="C600" s="1"/>
      <c r="D600" s="1"/>
      <c r="E600" s="23"/>
    </row>
    <row r="601" spans="1:5" ht="16.5" customHeight="1">
      <c r="A601" s="1"/>
      <c r="B601" s="1"/>
      <c r="C601" s="1"/>
      <c r="D601" s="1"/>
      <c r="E601" s="23"/>
    </row>
    <row r="602" spans="1:5" ht="16.5" customHeight="1">
      <c r="A602" s="1"/>
      <c r="B602" s="1"/>
      <c r="C602" s="1"/>
      <c r="D602" s="1"/>
      <c r="E602" s="23"/>
    </row>
    <row r="603" spans="1:5" ht="16.5" customHeight="1">
      <c r="A603" s="1"/>
      <c r="B603" s="1"/>
      <c r="C603" s="1"/>
      <c r="D603" s="1"/>
      <c r="E603" s="23"/>
    </row>
    <row r="604" spans="1:5" ht="16.5" customHeight="1">
      <c r="A604" s="1"/>
      <c r="B604" s="1"/>
      <c r="C604" s="1"/>
      <c r="D604" s="1"/>
      <c r="E604" s="23"/>
    </row>
    <row r="605" spans="1:5" ht="16.5" customHeight="1">
      <c r="A605" s="1"/>
      <c r="B605" s="1"/>
      <c r="C605" s="1"/>
      <c r="D605" s="1"/>
      <c r="E605" s="23"/>
    </row>
    <row r="606" spans="1:5" ht="16.5" customHeight="1">
      <c r="A606" s="1"/>
      <c r="B606" s="1"/>
      <c r="C606" s="1"/>
      <c r="D606" s="1"/>
      <c r="E606" s="23"/>
    </row>
    <row r="607" spans="1:5" ht="16.5" customHeight="1">
      <c r="A607" s="1"/>
      <c r="B607" s="1"/>
      <c r="C607" s="1"/>
      <c r="D607" s="1"/>
      <c r="E607" s="23"/>
    </row>
    <row r="608" spans="1:5" ht="16.5" customHeight="1">
      <c r="A608" s="1"/>
      <c r="B608" s="1"/>
      <c r="C608" s="1"/>
      <c r="D608" s="1"/>
      <c r="E608" s="23"/>
    </row>
    <row r="609" spans="1:5" ht="16.5" customHeight="1">
      <c r="A609" s="1"/>
      <c r="B609" s="1"/>
      <c r="C609" s="1"/>
      <c r="D609" s="1"/>
      <c r="E609" s="23"/>
    </row>
    <row r="610" spans="1:5" ht="16.5" customHeight="1">
      <c r="A610" s="1"/>
      <c r="B610" s="1"/>
      <c r="C610" s="1"/>
      <c r="D610" s="1"/>
      <c r="E610" s="23"/>
    </row>
    <row r="611" spans="1:5" ht="16.5" customHeight="1">
      <c r="A611" s="1"/>
      <c r="B611" s="1"/>
      <c r="C611" s="1"/>
      <c r="D611" s="1"/>
      <c r="E611" s="23"/>
    </row>
    <row r="612" spans="1:5" ht="16.5" customHeight="1">
      <c r="A612" s="1"/>
      <c r="B612" s="1"/>
      <c r="C612" s="1"/>
      <c r="D612" s="1"/>
      <c r="E612" s="23"/>
    </row>
    <row r="613" spans="1:5" ht="16.5" customHeight="1">
      <c r="A613" s="1"/>
      <c r="B613" s="1"/>
      <c r="C613" s="1"/>
      <c r="D613" s="1"/>
      <c r="E613" s="23"/>
    </row>
    <row r="614" spans="1:5" ht="16.5" customHeight="1">
      <c r="A614" s="1"/>
      <c r="B614" s="1"/>
      <c r="C614" s="1"/>
      <c r="D614" s="1"/>
      <c r="E614" s="23"/>
    </row>
    <row r="615" spans="1:5" ht="16.5" customHeight="1">
      <c r="A615" s="1"/>
      <c r="B615" s="1"/>
      <c r="C615" s="1"/>
      <c r="D615" s="1"/>
      <c r="E615" s="23"/>
    </row>
    <row r="616" spans="1:5" ht="16.5" customHeight="1">
      <c r="A616" s="1"/>
      <c r="B616" s="1"/>
      <c r="C616" s="1"/>
      <c r="D616" s="1"/>
      <c r="E616" s="23"/>
    </row>
    <row r="617" spans="1:5" ht="16.5" customHeight="1">
      <c r="A617" s="1"/>
      <c r="B617" s="1"/>
      <c r="C617" s="1"/>
      <c r="D617" s="1"/>
      <c r="E617" s="23"/>
    </row>
    <row r="618" spans="1:5" ht="16.5" customHeight="1">
      <c r="A618" s="1"/>
      <c r="B618" s="1"/>
      <c r="C618" s="1"/>
      <c r="D618" s="1"/>
      <c r="E618" s="23"/>
    </row>
    <row r="619" spans="1:5" ht="16.5" customHeight="1">
      <c r="A619" s="1"/>
      <c r="B619" s="1"/>
      <c r="C619" s="1"/>
      <c r="D619" s="1"/>
      <c r="E619" s="23"/>
    </row>
    <row r="620" spans="1:5" ht="16.5" customHeight="1">
      <c r="A620" s="1"/>
      <c r="B620" s="1"/>
      <c r="C620" s="1"/>
      <c r="D620" s="1"/>
      <c r="E620" s="23"/>
    </row>
    <row r="621" spans="1:5" ht="16.5" customHeight="1">
      <c r="A621" s="1"/>
      <c r="B621" s="1"/>
      <c r="C621" s="1"/>
      <c r="D621" s="1"/>
      <c r="E621" s="23"/>
    </row>
    <row r="622" spans="1:5" ht="16.5" customHeight="1">
      <c r="A622" s="1"/>
      <c r="B622" s="1"/>
      <c r="C622" s="1"/>
      <c r="D622" s="1"/>
      <c r="E622" s="23"/>
    </row>
    <row r="623" spans="1:5" ht="16.5" customHeight="1">
      <c r="A623" s="1"/>
      <c r="B623" s="1"/>
      <c r="C623" s="1"/>
      <c r="D623" s="1"/>
      <c r="E623" s="23"/>
    </row>
    <row r="624" spans="1:5" ht="16.5" customHeight="1">
      <c r="A624" s="1"/>
      <c r="B624" s="1"/>
      <c r="C624" s="1"/>
      <c r="D624" s="1"/>
      <c r="E624" s="23"/>
    </row>
    <row r="625" spans="1:5" ht="16.5" customHeight="1">
      <c r="A625" s="1"/>
      <c r="B625" s="1"/>
      <c r="C625" s="1"/>
      <c r="D625" s="1"/>
      <c r="E625" s="23"/>
    </row>
    <row r="626" spans="1:5" ht="16.5" customHeight="1">
      <c r="A626" s="1"/>
      <c r="B626" s="1"/>
      <c r="C626" s="1"/>
      <c r="D626" s="1"/>
      <c r="E626" s="23"/>
    </row>
    <row r="627" spans="1:5" ht="16.5" customHeight="1">
      <c r="A627" s="1"/>
      <c r="B627" s="1"/>
      <c r="C627" s="1"/>
      <c r="D627" s="1"/>
      <c r="E627" s="23"/>
    </row>
    <row r="628" spans="1:5" ht="16.5" customHeight="1">
      <c r="A628" s="1"/>
      <c r="B628" s="1"/>
      <c r="C628" s="1"/>
      <c r="D628" s="1"/>
      <c r="E628" s="23"/>
    </row>
    <row r="629" spans="1:5" ht="16.5" customHeight="1">
      <c r="A629" s="1"/>
      <c r="B629" s="1"/>
      <c r="C629" s="1"/>
      <c r="D629" s="1"/>
      <c r="E629" s="23"/>
    </row>
    <row r="630" spans="1:5" ht="16.5" customHeight="1">
      <c r="A630" s="1"/>
      <c r="B630" s="1"/>
      <c r="C630" s="1"/>
      <c r="D630" s="1"/>
      <c r="E630" s="23"/>
    </row>
    <row r="631" spans="1:5" ht="16.5" customHeight="1">
      <c r="A631" s="1"/>
      <c r="B631" s="1"/>
      <c r="C631" s="1"/>
      <c r="D631" s="1"/>
      <c r="E631" s="23"/>
    </row>
    <row r="632" spans="1:5" ht="16.5" customHeight="1">
      <c r="A632" s="1"/>
      <c r="B632" s="1"/>
      <c r="C632" s="1"/>
      <c r="D632" s="1"/>
      <c r="E632" s="23"/>
    </row>
    <row r="633" spans="1:5" ht="16.5" customHeight="1">
      <c r="A633" s="1"/>
      <c r="B633" s="1"/>
      <c r="C633" s="1"/>
      <c r="D633" s="1"/>
      <c r="E633" s="23"/>
    </row>
    <row r="634" spans="1:5" ht="16.5" customHeight="1">
      <c r="A634" s="1"/>
      <c r="B634" s="1"/>
      <c r="C634" s="1"/>
      <c r="D634" s="1"/>
      <c r="E634" s="23"/>
    </row>
    <row r="635" spans="1:5" ht="16.5" customHeight="1">
      <c r="A635" s="1"/>
      <c r="B635" s="1"/>
      <c r="C635" s="1"/>
      <c r="D635" s="1"/>
      <c r="E635" s="23"/>
    </row>
    <row r="636" spans="1:5" ht="16.5" customHeight="1">
      <c r="A636" s="1"/>
      <c r="B636" s="1"/>
      <c r="C636" s="1"/>
      <c r="D636" s="1"/>
      <c r="E636" s="23"/>
    </row>
    <row r="637" spans="1:5" ht="16.5" customHeight="1">
      <c r="A637" s="1"/>
      <c r="B637" s="1"/>
      <c r="C637" s="1"/>
      <c r="D637" s="1"/>
      <c r="E637" s="23"/>
    </row>
    <row r="638" spans="1:5" ht="16.5" customHeight="1">
      <c r="A638" s="1"/>
      <c r="B638" s="1"/>
      <c r="C638" s="1"/>
      <c r="D638" s="1"/>
      <c r="E638" s="23"/>
    </row>
    <row r="639" spans="1:5" ht="16.5" customHeight="1">
      <c r="A639" s="1"/>
      <c r="B639" s="1"/>
      <c r="C639" s="1"/>
      <c r="D639" s="1"/>
      <c r="E639" s="23"/>
    </row>
    <row r="640" spans="1:5" ht="16.5" customHeight="1">
      <c r="A640" s="1"/>
      <c r="B640" s="1"/>
      <c r="C640" s="1"/>
      <c r="D640" s="1"/>
      <c r="E640" s="23"/>
    </row>
    <row r="641" spans="1:5" ht="16.5" customHeight="1">
      <c r="A641" s="1"/>
      <c r="B641" s="1"/>
      <c r="C641" s="1"/>
      <c r="D641" s="1"/>
      <c r="E641" s="23"/>
    </row>
    <row r="642" spans="1:5" ht="16.5" customHeight="1">
      <c r="A642" s="1"/>
      <c r="B642" s="1"/>
      <c r="C642" s="1"/>
      <c r="D642" s="1"/>
      <c r="E642" s="23"/>
    </row>
    <row r="643" spans="1:5" ht="16.5" customHeight="1">
      <c r="A643" s="1"/>
      <c r="B643" s="1"/>
      <c r="C643" s="1"/>
      <c r="D643" s="1"/>
      <c r="E643" s="23"/>
    </row>
    <row r="644" spans="1:5" ht="16.5" customHeight="1">
      <c r="A644" s="1"/>
      <c r="B644" s="1"/>
      <c r="C644" s="1"/>
      <c r="D644" s="1"/>
      <c r="E644" s="23"/>
    </row>
    <row r="645" spans="1:5" ht="16.5" customHeight="1">
      <c r="A645" s="1"/>
      <c r="B645" s="1"/>
      <c r="C645" s="1"/>
      <c r="D645" s="1"/>
      <c r="E645" s="23"/>
    </row>
    <row r="646" spans="1:5" ht="16.5" customHeight="1">
      <c r="A646" s="1"/>
      <c r="B646" s="1"/>
      <c r="C646" s="1"/>
      <c r="D646" s="1"/>
      <c r="E646" s="23"/>
    </row>
    <row r="647" spans="1:5" ht="16.5" customHeight="1">
      <c r="A647" s="1"/>
      <c r="B647" s="1"/>
      <c r="C647" s="1"/>
      <c r="D647" s="1"/>
      <c r="E647" s="23"/>
    </row>
    <row r="648" spans="1:5" ht="16.5" customHeight="1">
      <c r="A648" s="1"/>
      <c r="B648" s="1"/>
      <c r="C648" s="1"/>
      <c r="D648" s="1"/>
      <c r="E648" s="23"/>
    </row>
    <row r="649" spans="1:5" ht="16.5" customHeight="1">
      <c r="A649" s="1"/>
      <c r="B649" s="1"/>
      <c r="C649" s="1"/>
      <c r="D649" s="1"/>
      <c r="E649" s="23"/>
    </row>
    <row r="650" spans="1:5" ht="16.5" customHeight="1">
      <c r="A650" s="1"/>
      <c r="B650" s="1"/>
      <c r="C650" s="1"/>
      <c r="D650" s="1"/>
      <c r="E650" s="23"/>
    </row>
    <row r="651" spans="1:5" ht="16.5" customHeight="1">
      <c r="A651" s="1"/>
      <c r="B651" s="1"/>
      <c r="C651" s="1"/>
      <c r="D651" s="1"/>
      <c r="E651" s="23"/>
    </row>
    <row r="652" spans="1:5" ht="16.5" customHeight="1">
      <c r="A652" s="1"/>
      <c r="B652" s="1"/>
      <c r="C652" s="1"/>
      <c r="D652" s="1"/>
      <c r="E652" s="23"/>
    </row>
    <row r="653" spans="1:5" ht="16.5" customHeight="1">
      <c r="A653" s="1"/>
      <c r="B653" s="1"/>
      <c r="C653" s="1"/>
      <c r="D653" s="1"/>
      <c r="E653" s="23"/>
    </row>
    <row r="654" spans="1:5" ht="16.5" customHeight="1">
      <c r="A654" s="1"/>
      <c r="B654" s="1"/>
      <c r="C654" s="1"/>
      <c r="D654" s="1"/>
      <c r="E654" s="23"/>
    </row>
    <row r="655" spans="1:5" ht="16.5" customHeight="1">
      <c r="A655" s="1"/>
      <c r="B655" s="1"/>
      <c r="C655" s="1"/>
      <c r="D655" s="1"/>
      <c r="E655" s="23"/>
    </row>
    <row r="656" spans="1:5" ht="16.5" customHeight="1">
      <c r="A656" s="1"/>
      <c r="B656" s="1"/>
      <c r="C656" s="1"/>
      <c r="D656" s="1"/>
      <c r="E656" s="23"/>
    </row>
    <row r="657" spans="1:5" ht="16.5" customHeight="1">
      <c r="A657" s="1"/>
      <c r="B657" s="1"/>
      <c r="C657" s="1"/>
      <c r="D657" s="1"/>
      <c r="E657" s="23"/>
    </row>
    <row r="658" spans="1:5" ht="16.5" customHeight="1">
      <c r="A658" s="1"/>
      <c r="B658" s="1"/>
      <c r="C658" s="1"/>
      <c r="D658" s="1"/>
      <c r="E658" s="23"/>
    </row>
    <row r="659" spans="1:5" ht="16.5" customHeight="1">
      <c r="A659" s="1"/>
      <c r="B659" s="1"/>
      <c r="C659" s="1"/>
      <c r="D659" s="1"/>
      <c r="E659" s="23"/>
    </row>
    <row r="660" spans="1:5" ht="16.5" customHeight="1">
      <c r="A660" s="1"/>
      <c r="B660" s="1"/>
      <c r="C660" s="1"/>
      <c r="D660" s="1"/>
      <c r="E660" s="23"/>
    </row>
    <row r="661" spans="1:5" ht="16.5" customHeight="1">
      <c r="A661" s="1"/>
      <c r="B661" s="1"/>
      <c r="C661" s="1"/>
      <c r="D661" s="1"/>
      <c r="E661" s="23"/>
    </row>
    <row r="662" spans="1:5" ht="16.5" customHeight="1">
      <c r="A662" s="1"/>
      <c r="B662" s="1"/>
      <c r="C662" s="1"/>
      <c r="D662" s="1"/>
      <c r="E662" s="23"/>
    </row>
    <row r="663" spans="1:5" ht="16.5" customHeight="1">
      <c r="A663" s="1"/>
      <c r="B663" s="1"/>
      <c r="C663" s="1"/>
      <c r="D663" s="1"/>
      <c r="E663" s="23"/>
    </row>
    <row r="664" spans="1:5" ht="16.5" customHeight="1">
      <c r="A664" s="1"/>
      <c r="B664" s="1"/>
      <c r="C664" s="1"/>
      <c r="D664" s="1"/>
      <c r="E664" s="23"/>
    </row>
    <row r="665" spans="1:5" ht="16.5" customHeight="1">
      <c r="A665" s="1"/>
      <c r="B665" s="1"/>
      <c r="C665" s="1"/>
      <c r="D665" s="1"/>
      <c r="E665" s="23"/>
    </row>
    <row r="666" spans="1:5" ht="16.5" customHeight="1">
      <c r="A666" s="1"/>
      <c r="B666" s="1"/>
      <c r="C666" s="1"/>
      <c r="D666" s="1"/>
      <c r="E666" s="23"/>
    </row>
    <row r="667" spans="1:5" ht="16.5" customHeight="1">
      <c r="A667" s="1"/>
      <c r="B667" s="1"/>
      <c r="C667" s="1"/>
      <c r="D667" s="1"/>
      <c r="E667" s="23"/>
    </row>
    <row r="668" spans="1:5" ht="16.5" customHeight="1">
      <c r="A668" s="1"/>
      <c r="B668" s="1"/>
      <c r="C668" s="1"/>
      <c r="D668" s="1"/>
      <c r="E668" s="23"/>
    </row>
    <row r="669" spans="1:5" ht="16.5" customHeight="1">
      <c r="A669" s="1"/>
      <c r="B669" s="1"/>
      <c r="C669" s="1"/>
      <c r="D669" s="1"/>
      <c r="E669" s="23"/>
    </row>
    <row r="670" spans="1:5" ht="16.5" customHeight="1">
      <c r="A670" s="1"/>
      <c r="B670" s="1"/>
      <c r="C670" s="1"/>
      <c r="D670" s="1"/>
      <c r="E670" s="23"/>
    </row>
    <row r="671" spans="1:5" ht="16.5" customHeight="1">
      <c r="A671" s="1"/>
      <c r="B671" s="1"/>
      <c r="C671" s="1"/>
      <c r="D671" s="1"/>
      <c r="E671" s="23"/>
    </row>
    <row r="672" spans="1:5" ht="16.5" customHeight="1">
      <c r="A672" s="1"/>
      <c r="B672" s="1"/>
      <c r="C672" s="1"/>
      <c r="D672" s="1"/>
      <c r="E672" s="23"/>
    </row>
    <row r="673" spans="1:5" ht="16.5" customHeight="1">
      <c r="A673" s="1"/>
      <c r="B673" s="1"/>
      <c r="C673" s="1"/>
      <c r="D673" s="1"/>
      <c r="E673" s="23"/>
    </row>
    <row r="674" spans="1:5" ht="16.5" customHeight="1">
      <c r="A674" s="1"/>
      <c r="B674" s="1"/>
      <c r="C674" s="1"/>
      <c r="D674" s="1"/>
      <c r="E674" s="23"/>
    </row>
    <row r="675" spans="1:5" ht="16.5" customHeight="1">
      <c r="A675" s="1"/>
      <c r="B675" s="1"/>
      <c r="C675" s="1"/>
      <c r="D675" s="1"/>
      <c r="E675" s="23"/>
    </row>
    <row r="676" spans="1:5" ht="16.5" customHeight="1">
      <c r="A676" s="1"/>
      <c r="B676" s="1"/>
      <c r="C676" s="1"/>
      <c r="D676" s="1"/>
      <c r="E676" s="23"/>
    </row>
    <row r="677" spans="1:5" ht="16.5" customHeight="1">
      <c r="A677" s="1"/>
      <c r="B677" s="1"/>
      <c r="C677" s="1"/>
      <c r="D677" s="1"/>
      <c r="E677" s="23"/>
    </row>
    <row r="678" spans="1:5" ht="16.5" customHeight="1">
      <c r="A678" s="1"/>
      <c r="B678" s="1"/>
      <c r="C678" s="1"/>
      <c r="D678" s="1"/>
      <c r="E678" s="23"/>
    </row>
    <row r="679" spans="1:5" ht="16.5" customHeight="1">
      <c r="A679" s="1"/>
      <c r="B679" s="1"/>
      <c r="C679" s="1"/>
      <c r="D679" s="1"/>
      <c r="E679" s="23"/>
    </row>
    <row r="680" spans="1:5" ht="16.5" customHeight="1">
      <c r="A680" s="1"/>
      <c r="B680" s="1"/>
      <c r="C680" s="1"/>
      <c r="D680" s="1"/>
      <c r="E680" s="23"/>
    </row>
    <row r="681" spans="1:5" ht="16.5" customHeight="1">
      <c r="A681" s="1"/>
      <c r="B681" s="1"/>
      <c r="C681" s="1"/>
      <c r="D681" s="1"/>
      <c r="E681" s="23"/>
    </row>
    <row r="682" spans="1:5" ht="16.5" customHeight="1">
      <c r="A682" s="1"/>
      <c r="B682" s="1"/>
      <c r="C682" s="1"/>
      <c r="D682" s="1"/>
      <c r="E682" s="23"/>
    </row>
    <row r="683" spans="1:5" ht="16.5" customHeight="1">
      <c r="A683" s="1"/>
      <c r="B683" s="1"/>
      <c r="C683" s="1"/>
      <c r="D683" s="1"/>
      <c r="E683" s="23"/>
    </row>
    <row r="684" spans="1:5" ht="16.5" customHeight="1">
      <c r="A684" s="1"/>
      <c r="B684" s="1"/>
      <c r="C684" s="1"/>
      <c r="D684" s="1"/>
      <c r="E684" s="23"/>
    </row>
    <row r="685" spans="1:5" ht="16.5" customHeight="1">
      <c r="A685" s="1"/>
      <c r="B685" s="1"/>
      <c r="C685" s="1"/>
      <c r="D685" s="1"/>
      <c r="E685" s="23"/>
    </row>
    <row r="686" spans="1:5" ht="16.5" customHeight="1">
      <c r="A686" s="1"/>
      <c r="B686" s="1"/>
      <c r="C686" s="1"/>
      <c r="D686" s="1"/>
      <c r="E686" s="23"/>
    </row>
    <row r="687" spans="1:5" ht="16.5" customHeight="1">
      <c r="A687" s="1"/>
      <c r="B687" s="1"/>
      <c r="C687" s="1"/>
      <c r="D687" s="1"/>
      <c r="E687" s="23"/>
    </row>
    <row r="688" spans="1:5" ht="16.5" customHeight="1">
      <c r="A688" s="1"/>
      <c r="B688" s="1"/>
      <c r="C688" s="1"/>
      <c r="D688" s="1"/>
      <c r="E688" s="23"/>
    </row>
    <row r="689" spans="1:5" ht="16.5" customHeight="1">
      <c r="A689" s="1"/>
      <c r="B689" s="1"/>
      <c r="C689" s="1"/>
      <c r="D689" s="1"/>
      <c r="E689" s="23"/>
    </row>
    <row r="690" spans="1:5" ht="16.5" customHeight="1">
      <c r="A690" s="1"/>
      <c r="B690" s="1"/>
      <c r="C690" s="1"/>
      <c r="D690" s="1"/>
      <c r="E690" s="23"/>
    </row>
    <row r="691" spans="1:5" ht="16.5" customHeight="1">
      <c r="A691" s="1"/>
      <c r="B691" s="1"/>
      <c r="C691" s="1"/>
      <c r="D691" s="1"/>
      <c r="E691" s="23"/>
    </row>
    <row r="692" spans="1:5" ht="16.5" customHeight="1">
      <c r="A692" s="1"/>
      <c r="B692" s="1"/>
      <c r="C692" s="1"/>
      <c r="D692" s="1"/>
      <c r="E692" s="23"/>
    </row>
    <row r="693" spans="1:5" ht="16.5" customHeight="1">
      <c r="A693" s="1"/>
      <c r="B693" s="1"/>
      <c r="C693" s="1"/>
      <c r="D693" s="1"/>
      <c r="E693" s="23"/>
    </row>
    <row r="694" spans="1:5" ht="16.5" customHeight="1">
      <c r="A694" s="1"/>
      <c r="B694" s="1"/>
      <c r="C694" s="1"/>
      <c r="D694" s="1"/>
      <c r="E694" s="23"/>
    </row>
    <row r="695" spans="1:5" ht="16.5" customHeight="1">
      <c r="A695" s="1"/>
      <c r="B695" s="1"/>
      <c r="C695" s="1"/>
      <c r="D695" s="1"/>
      <c r="E695" s="23"/>
    </row>
    <row r="696" spans="1:5" ht="16.5" customHeight="1">
      <c r="A696" s="1"/>
      <c r="B696" s="1"/>
      <c r="C696" s="1"/>
      <c r="D696" s="1"/>
      <c r="E696" s="23"/>
    </row>
    <row r="697" spans="1:5" ht="16.5" customHeight="1">
      <c r="A697" s="1"/>
      <c r="B697" s="1"/>
      <c r="C697" s="1"/>
      <c r="D697" s="1"/>
      <c r="E697" s="23"/>
    </row>
    <row r="698" spans="1:5" ht="16.5" customHeight="1">
      <c r="A698" s="1"/>
      <c r="B698" s="1"/>
      <c r="C698" s="1"/>
      <c r="D698" s="1"/>
      <c r="E698" s="23"/>
    </row>
    <row r="699" spans="1:5" ht="16.5" customHeight="1">
      <c r="A699" s="1"/>
      <c r="B699" s="1"/>
      <c r="C699" s="1"/>
      <c r="D699" s="1"/>
      <c r="E699" s="23"/>
    </row>
    <row r="700" spans="1:5" ht="16.5" customHeight="1">
      <c r="A700" s="1"/>
      <c r="B700" s="1"/>
      <c r="C700" s="1"/>
      <c r="D700" s="1"/>
      <c r="E700" s="23"/>
    </row>
    <row r="701" spans="1:5" ht="16.5" customHeight="1">
      <c r="A701" s="1"/>
      <c r="B701" s="1"/>
      <c r="C701" s="1"/>
      <c r="D701" s="1"/>
      <c r="E701" s="23"/>
    </row>
    <row r="702" spans="1:5" ht="16.5" customHeight="1">
      <c r="A702" s="1"/>
      <c r="B702" s="1"/>
      <c r="C702" s="1"/>
      <c r="D702" s="1"/>
      <c r="E702" s="23"/>
    </row>
    <row r="703" spans="1:5" ht="16.5" customHeight="1">
      <c r="A703" s="1"/>
      <c r="B703" s="1"/>
      <c r="C703" s="1"/>
      <c r="D703" s="1"/>
      <c r="E703" s="23"/>
    </row>
    <row r="704" spans="1:5" ht="16.5" customHeight="1">
      <c r="A704" s="1"/>
      <c r="B704" s="1"/>
      <c r="C704" s="1"/>
      <c r="D704" s="1"/>
      <c r="E704" s="23"/>
    </row>
    <row r="705" spans="1:5" ht="16.5" customHeight="1">
      <c r="A705" s="1"/>
      <c r="B705" s="1"/>
      <c r="C705" s="1"/>
      <c r="D705" s="1"/>
      <c r="E705" s="23"/>
    </row>
    <row r="706" spans="1:5" ht="16.5" customHeight="1">
      <c r="A706" s="1"/>
      <c r="B706" s="1"/>
      <c r="C706" s="1"/>
      <c r="D706" s="1"/>
      <c r="E706" s="23"/>
    </row>
    <row r="707" spans="1:5" ht="16.5" customHeight="1">
      <c r="A707" s="1"/>
      <c r="B707" s="1"/>
      <c r="C707" s="1"/>
      <c r="D707" s="1"/>
      <c r="E707" s="23"/>
    </row>
    <row r="708" spans="1:5" ht="16.5" customHeight="1">
      <c r="A708" s="1"/>
      <c r="B708" s="1"/>
      <c r="C708" s="1"/>
      <c r="D708" s="1"/>
      <c r="E708" s="23"/>
    </row>
    <row r="709" spans="1:5" ht="16.5" customHeight="1">
      <c r="A709" s="1"/>
      <c r="B709" s="1"/>
      <c r="C709" s="1"/>
      <c r="D709" s="1"/>
      <c r="E709" s="23"/>
    </row>
    <row r="710" spans="1:5" ht="16.5" customHeight="1">
      <c r="A710" s="1"/>
      <c r="B710" s="1"/>
      <c r="C710" s="1"/>
      <c r="D710" s="1"/>
      <c r="E710" s="23"/>
    </row>
    <row r="711" spans="1:5" ht="16.5" customHeight="1">
      <c r="A711" s="1"/>
      <c r="B711" s="1"/>
      <c r="C711" s="1"/>
      <c r="D711" s="1"/>
      <c r="E711" s="23"/>
    </row>
    <row r="712" spans="1:5" ht="16.5" customHeight="1">
      <c r="A712" s="1"/>
      <c r="B712" s="1"/>
      <c r="C712" s="1"/>
      <c r="D712" s="1"/>
      <c r="E712" s="23"/>
    </row>
    <row r="713" spans="1:5" ht="16.5" customHeight="1">
      <c r="A713" s="1"/>
      <c r="B713" s="1"/>
      <c r="C713" s="1"/>
      <c r="D713" s="1"/>
      <c r="E713" s="23"/>
    </row>
    <row r="714" spans="1:5" ht="16.5" customHeight="1">
      <c r="A714" s="1"/>
      <c r="B714" s="1"/>
      <c r="C714" s="1"/>
      <c r="D714" s="1"/>
      <c r="E714" s="23"/>
    </row>
    <row r="715" spans="1:5" ht="16.5" customHeight="1">
      <c r="A715" s="1"/>
      <c r="B715" s="1"/>
      <c r="C715" s="1"/>
      <c r="D715" s="1"/>
      <c r="E715" s="23"/>
    </row>
    <row r="716" spans="1:5" ht="16.5" customHeight="1">
      <c r="A716" s="1"/>
      <c r="B716" s="1"/>
      <c r="C716" s="1"/>
      <c r="D716" s="1"/>
      <c r="E716" s="23"/>
    </row>
    <row r="717" spans="1:5" ht="16.5" customHeight="1">
      <c r="A717" s="1"/>
      <c r="B717" s="1"/>
      <c r="C717" s="1"/>
      <c r="D717" s="1"/>
      <c r="E717" s="23"/>
    </row>
    <row r="718" spans="1:5" ht="16.5" customHeight="1">
      <c r="A718" s="1"/>
      <c r="B718" s="1"/>
      <c r="C718" s="1"/>
      <c r="D718" s="1"/>
      <c r="E718" s="23"/>
    </row>
    <row r="719" spans="1:5" ht="16.5" customHeight="1">
      <c r="A719" s="1"/>
      <c r="B719" s="1"/>
      <c r="C719" s="1"/>
      <c r="D719" s="1"/>
      <c r="E719" s="23"/>
    </row>
    <row r="720" spans="1:5" ht="16.5" customHeight="1">
      <c r="A720" s="1"/>
      <c r="B720" s="1"/>
      <c r="C720" s="1"/>
      <c r="D720" s="1"/>
      <c r="E720" s="23"/>
    </row>
    <row r="721" spans="1:5" ht="16.5" customHeight="1">
      <c r="A721" s="1"/>
      <c r="B721" s="1"/>
      <c r="C721" s="1"/>
      <c r="D721" s="1"/>
      <c r="E721" s="23"/>
    </row>
    <row r="722" spans="1:5" ht="16.5" customHeight="1">
      <c r="A722" s="1"/>
      <c r="B722" s="1"/>
      <c r="C722" s="1"/>
      <c r="D722" s="1"/>
      <c r="E722" s="23"/>
    </row>
    <row r="723" spans="1:5" ht="16.5" customHeight="1">
      <c r="A723" s="1"/>
      <c r="B723" s="1"/>
      <c r="C723" s="1"/>
      <c r="D723" s="1"/>
      <c r="E723" s="23"/>
    </row>
    <row r="724" spans="1:5" ht="16.5" customHeight="1">
      <c r="A724" s="1"/>
      <c r="B724" s="1"/>
      <c r="C724" s="1"/>
      <c r="D724" s="1"/>
      <c r="E724" s="23"/>
    </row>
    <row r="725" spans="1:5" ht="16.5" customHeight="1">
      <c r="A725" s="1"/>
      <c r="B725" s="1"/>
      <c r="C725" s="1"/>
      <c r="D725" s="1"/>
      <c r="E725" s="23"/>
    </row>
    <row r="726" spans="1:5" ht="16.5" customHeight="1">
      <c r="A726" s="1"/>
      <c r="B726" s="1"/>
      <c r="C726" s="1"/>
      <c r="D726" s="1"/>
      <c r="E726" s="23"/>
    </row>
    <row r="727" spans="1:5" ht="16.5" customHeight="1">
      <c r="A727" s="1"/>
      <c r="B727" s="1"/>
      <c r="C727" s="1"/>
      <c r="D727" s="1"/>
      <c r="E727" s="23"/>
    </row>
    <row r="728" spans="1:5" ht="16.5" customHeight="1">
      <c r="A728" s="1"/>
      <c r="B728" s="1"/>
      <c r="C728" s="1"/>
      <c r="D728" s="1"/>
      <c r="E728" s="23"/>
    </row>
    <row r="729" spans="1:5" ht="16.5" customHeight="1">
      <c r="A729" s="1"/>
      <c r="B729" s="1"/>
      <c r="C729" s="1"/>
      <c r="D729" s="1"/>
      <c r="E729" s="23"/>
    </row>
    <row r="730" spans="1:5" ht="16.5" customHeight="1">
      <c r="A730" s="1"/>
      <c r="B730" s="1"/>
      <c r="C730" s="1"/>
      <c r="D730" s="1"/>
      <c r="E730" s="23"/>
    </row>
    <row r="731" spans="1:5" ht="16.5" customHeight="1">
      <c r="A731" s="1"/>
      <c r="B731" s="1"/>
      <c r="C731" s="1"/>
      <c r="D731" s="1"/>
      <c r="E731" s="23"/>
    </row>
    <row r="732" spans="1:5" ht="16.5" customHeight="1">
      <c r="A732" s="1"/>
      <c r="B732" s="1"/>
      <c r="C732" s="1"/>
      <c r="D732" s="1"/>
      <c r="E732" s="23"/>
    </row>
    <row r="733" spans="1:5" ht="16.5" customHeight="1">
      <c r="A733" s="1"/>
      <c r="B733" s="1"/>
      <c r="C733" s="1"/>
      <c r="D733" s="1"/>
      <c r="E733" s="23"/>
    </row>
    <row r="734" spans="1:5" ht="16.5" customHeight="1">
      <c r="A734" s="1"/>
      <c r="B734" s="1"/>
      <c r="C734" s="1"/>
      <c r="D734" s="1"/>
      <c r="E734" s="23"/>
    </row>
    <row r="735" spans="1:5" ht="16.5" customHeight="1">
      <c r="A735" s="1"/>
      <c r="B735" s="1"/>
      <c r="C735" s="1"/>
      <c r="D735" s="1"/>
      <c r="E735" s="23"/>
    </row>
    <row r="736" spans="1:5" ht="16.5" customHeight="1">
      <c r="A736" s="1"/>
      <c r="B736" s="1"/>
      <c r="C736" s="1"/>
      <c r="D736" s="1"/>
      <c r="E736" s="23"/>
    </row>
    <row r="737" spans="1:5" ht="16.5" customHeight="1">
      <c r="A737" s="1"/>
      <c r="B737" s="1"/>
      <c r="C737" s="1"/>
      <c r="D737" s="1"/>
      <c r="E737" s="23"/>
    </row>
    <row r="738" spans="1:5" ht="16.5" customHeight="1">
      <c r="A738" s="1"/>
      <c r="B738" s="1"/>
      <c r="C738" s="1"/>
      <c r="D738" s="1"/>
      <c r="E738" s="23"/>
    </row>
    <row r="739" spans="1:5" ht="16.5" customHeight="1">
      <c r="A739" s="1"/>
      <c r="B739" s="1"/>
      <c r="C739" s="1"/>
      <c r="D739" s="1"/>
      <c r="E739" s="23"/>
    </row>
    <row r="740" spans="1:5" ht="16.5" customHeight="1">
      <c r="A740" s="1"/>
      <c r="B740" s="1"/>
      <c r="C740" s="1"/>
      <c r="D740" s="1"/>
      <c r="E740" s="23"/>
    </row>
    <row r="741" spans="1:5" ht="16.5" customHeight="1">
      <c r="A741" s="1"/>
      <c r="B741" s="1"/>
      <c r="C741" s="1"/>
      <c r="D741" s="1"/>
      <c r="E741" s="23"/>
    </row>
    <row r="742" spans="1:5" ht="16.5" customHeight="1">
      <c r="A742" s="1"/>
      <c r="B742" s="1"/>
      <c r="C742" s="1"/>
      <c r="D742" s="1"/>
      <c r="E742" s="23"/>
    </row>
    <row r="743" spans="1:5" ht="16.5" customHeight="1">
      <c r="A743" s="1"/>
      <c r="B743" s="1"/>
      <c r="C743" s="1"/>
      <c r="D743" s="1"/>
      <c r="E743" s="23"/>
    </row>
    <row r="744" spans="1:5" ht="16.5" customHeight="1">
      <c r="A744" s="1"/>
      <c r="B744" s="1"/>
      <c r="C744" s="1"/>
      <c r="D744" s="1"/>
      <c r="E744" s="23"/>
    </row>
    <row r="745" spans="1:5" ht="16.5" customHeight="1">
      <c r="A745" s="1"/>
      <c r="B745" s="1"/>
      <c r="C745" s="1"/>
      <c r="D745" s="1"/>
      <c r="E745" s="23"/>
    </row>
    <row r="746" spans="1:5" ht="16.5" customHeight="1">
      <c r="A746" s="1"/>
      <c r="B746" s="1"/>
      <c r="C746" s="1"/>
      <c r="D746" s="1"/>
      <c r="E746" s="23"/>
    </row>
    <row r="747" spans="1:5" ht="16.5" customHeight="1">
      <c r="A747" s="1"/>
      <c r="B747" s="1"/>
      <c r="C747" s="1"/>
      <c r="D747" s="1"/>
      <c r="E747" s="23"/>
    </row>
    <row r="748" spans="1:5" ht="16.5" customHeight="1">
      <c r="A748" s="1"/>
      <c r="B748" s="1"/>
      <c r="C748" s="1"/>
      <c r="D748" s="1"/>
      <c r="E748" s="23"/>
    </row>
    <row r="749" spans="1:5" ht="16.5" customHeight="1">
      <c r="A749" s="1"/>
      <c r="B749" s="1"/>
      <c r="C749" s="1"/>
      <c r="D749" s="1"/>
      <c r="E749" s="23"/>
    </row>
    <row r="750" spans="1:5" ht="16.5" customHeight="1">
      <c r="A750" s="1"/>
      <c r="B750" s="1"/>
      <c r="C750" s="1"/>
      <c r="D750" s="1"/>
      <c r="E750" s="23"/>
    </row>
    <row r="751" spans="1:5" ht="16.5" customHeight="1">
      <c r="A751" s="1"/>
      <c r="B751" s="1"/>
      <c r="C751" s="1"/>
      <c r="D751" s="1"/>
      <c r="E751" s="23"/>
    </row>
    <row r="752" spans="1:5" ht="16.5" customHeight="1">
      <c r="A752" s="1"/>
      <c r="B752" s="1"/>
      <c r="C752" s="1"/>
      <c r="D752" s="1"/>
      <c r="E752" s="23"/>
    </row>
    <row r="753" spans="1:5" ht="16.5" customHeight="1">
      <c r="A753" s="1"/>
      <c r="B753" s="1"/>
      <c r="C753" s="1"/>
      <c r="D753" s="1"/>
      <c r="E753" s="23"/>
    </row>
    <row r="754" spans="1:5" ht="16.5" customHeight="1">
      <c r="A754" s="1"/>
      <c r="B754" s="1"/>
      <c r="C754" s="1"/>
      <c r="D754" s="1"/>
      <c r="E754" s="23"/>
    </row>
    <row r="755" spans="1:5" ht="16.5" customHeight="1">
      <c r="A755" s="1"/>
      <c r="B755" s="1"/>
      <c r="C755" s="1"/>
      <c r="D755" s="1"/>
      <c r="E755" s="23"/>
    </row>
    <row r="756" spans="1:5" ht="16.5" customHeight="1">
      <c r="A756" s="1"/>
      <c r="B756" s="1"/>
      <c r="C756" s="1"/>
      <c r="D756" s="1"/>
      <c r="E756" s="23"/>
    </row>
    <row r="757" spans="1:5" ht="16.5" customHeight="1">
      <c r="A757" s="1"/>
      <c r="B757" s="1"/>
      <c r="C757" s="1"/>
      <c r="D757" s="1"/>
      <c r="E757" s="23"/>
    </row>
    <row r="758" spans="1:5" ht="16.5" customHeight="1">
      <c r="A758" s="1"/>
      <c r="B758" s="1"/>
      <c r="C758" s="1"/>
      <c r="D758" s="1"/>
      <c r="E758" s="23"/>
    </row>
    <row r="759" spans="1:5" ht="16.5" customHeight="1">
      <c r="A759" s="1"/>
      <c r="B759" s="1"/>
      <c r="C759" s="1"/>
      <c r="D759" s="1"/>
      <c r="E759" s="23"/>
    </row>
    <row r="760" spans="1:5" ht="16.5" customHeight="1">
      <c r="A760" s="1"/>
      <c r="B760" s="1"/>
      <c r="C760" s="1"/>
      <c r="D760" s="1"/>
      <c r="E760" s="23"/>
    </row>
    <row r="761" spans="1:5" ht="16.5" customHeight="1">
      <c r="A761" s="1"/>
      <c r="B761" s="1"/>
      <c r="C761" s="1"/>
      <c r="D761" s="1"/>
      <c r="E761" s="23"/>
    </row>
    <row r="762" spans="1:5" ht="16.5" customHeight="1">
      <c r="A762" s="1"/>
      <c r="B762" s="1"/>
      <c r="C762" s="1"/>
      <c r="D762" s="1"/>
      <c r="E762" s="23"/>
    </row>
    <row r="763" spans="1:5" ht="16.5" customHeight="1">
      <c r="A763" s="1"/>
      <c r="B763" s="1"/>
      <c r="C763" s="1"/>
      <c r="D763" s="1"/>
      <c r="E763" s="23"/>
    </row>
    <row r="764" spans="1:5" ht="16.5" customHeight="1">
      <c r="A764" s="1"/>
      <c r="B764" s="1"/>
      <c r="C764" s="1"/>
      <c r="D764" s="1"/>
      <c r="E764" s="23"/>
    </row>
    <row r="765" spans="1:5" ht="16.5" customHeight="1">
      <c r="A765" s="1"/>
      <c r="B765" s="1"/>
      <c r="C765" s="1"/>
      <c r="D765" s="1"/>
      <c r="E765" s="23"/>
    </row>
    <row r="766" spans="1:5" ht="16.5" customHeight="1">
      <c r="A766" s="1"/>
      <c r="B766" s="1"/>
      <c r="C766" s="1"/>
      <c r="D766" s="1"/>
      <c r="E766" s="23"/>
    </row>
    <row r="767" spans="1:5" ht="16.5" customHeight="1">
      <c r="A767" s="1"/>
      <c r="B767" s="1"/>
      <c r="C767" s="1"/>
      <c r="D767" s="1"/>
      <c r="E767" s="23"/>
    </row>
    <row r="768" spans="1:5" ht="16.5" customHeight="1">
      <c r="A768" s="1"/>
      <c r="B768" s="1"/>
      <c r="C768" s="1"/>
      <c r="D768" s="1"/>
      <c r="E768" s="23"/>
    </row>
    <row r="769" spans="1:5" ht="16.5" customHeight="1">
      <c r="A769" s="1"/>
      <c r="B769" s="1"/>
      <c r="C769" s="1"/>
      <c r="D769" s="1"/>
      <c r="E769" s="23"/>
    </row>
    <row r="770" spans="1:5" ht="16.5" customHeight="1">
      <c r="A770" s="1"/>
      <c r="B770" s="1"/>
      <c r="C770" s="1"/>
      <c r="D770" s="1"/>
      <c r="E770" s="23"/>
    </row>
    <row r="771" spans="1:5" ht="16.5" customHeight="1">
      <c r="A771" s="1"/>
      <c r="B771" s="1"/>
      <c r="C771" s="1"/>
      <c r="D771" s="1"/>
      <c r="E771" s="23"/>
    </row>
    <row r="772" spans="1:5" ht="16.5" customHeight="1">
      <c r="A772" s="1"/>
      <c r="B772" s="1"/>
      <c r="C772" s="1"/>
      <c r="D772" s="1"/>
      <c r="E772" s="23"/>
    </row>
    <row r="773" spans="1:5" ht="16.5" customHeight="1">
      <c r="A773" s="1"/>
      <c r="B773" s="1"/>
      <c r="C773" s="1"/>
      <c r="D773" s="1"/>
      <c r="E773" s="23"/>
    </row>
    <row r="774" spans="1:5" ht="16.5" customHeight="1">
      <c r="A774" s="1"/>
      <c r="B774" s="1"/>
      <c r="C774" s="1"/>
      <c r="D774" s="1"/>
      <c r="E774" s="23"/>
    </row>
    <row r="775" spans="1:5" ht="16.5" customHeight="1">
      <c r="A775" s="1"/>
      <c r="B775" s="1"/>
      <c r="C775" s="1"/>
      <c r="D775" s="1"/>
      <c r="E775" s="23"/>
    </row>
    <row r="776" spans="1:5" ht="16.5" customHeight="1">
      <c r="A776" s="1"/>
      <c r="B776" s="1"/>
      <c r="C776" s="1"/>
      <c r="D776" s="1"/>
      <c r="E776" s="23"/>
    </row>
    <row r="777" spans="1:5" ht="16.5" customHeight="1">
      <c r="A777" s="1"/>
      <c r="B777" s="1"/>
      <c r="C777" s="1"/>
      <c r="D777" s="1"/>
      <c r="E777" s="23"/>
    </row>
    <row r="778" spans="1:5" ht="16.5" customHeight="1">
      <c r="A778" s="1"/>
      <c r="B778" s="1"/>
      <c r="C778" s="1"/>
      <c r="D778" s="1"/>
      <c r="E778" s="23"/>
    </row>
    <row r="779" spans="1:5" ht="16.5" customHeight="1">
      <c r="A779" s="1"/>
      <c r="B779" s="1"/>
      <c r="C779" s="1"/>
      <c r="D779" s="1"/>
      <c r="E779" s="23"/>
    </row>
    <row r="780" spans="1:5" ht="16.5" customHeight="1">
      <c r="A780" s="1"/>
      <c r="B780" s="1"/>
      <c r="C780" s="1"/>
      <c r="D780" s="1"/>
      <c r="E780" s="23"/>
    </row>
    <row r="781" spans="1:5" ht="16.5" customHeight="1">
      <c r="A781" s="1"/>
      <c r="B781" s="1"/>
      <c r="C781" s="1"/>
      <c r="D781" s="1"/>
      <c r="E781" s="23"/>
    </row>
    <row r="782" spans="1:5" ht="16.5" customHeight="1">
      <c r="A782" s="1"/>
      <c r="B782" s="1"/>
      <c r="C782" s="1"/>
      <c r="D782" s="1"/>
      <c r="E782" s="23"/>
    </row>
    <row r="783" spans="1:5" ht="16.5" customHeight="1">
      <c r="A783" s="1"/>
      <c r="B783" s="1"/>
      <c r="C783" s="1"/>
      <c r="D783" s="1"/>
      <c r="E783" s="23"/>
    </row>
    <row r="784" spans="1:5" ht="16.5" customHeight="1">
      <c r="A784" s="1"/>
      <c r="B784" s="1"/>
      <c r="C784" s="1"/>
      <c r="D784" s="1"/>
      <c r="E784" s="23"/>
    </row>
    <row r="785" spans="1:5" ht="16.5" customHeight="1">
      <c r="A785" s="1"/>
      <c r="B785" s="1"/>
      <c r="C785" s="1"/>
      <c r="D785" s="1"/>
      <c r="E785" s="23"/>
    </row>
    <row r="786" spans="1:5" ht="16.5" customHeight="1">
      <c r="A786" s="1"/>
      <c r="B786" s="1"/>
      <c r="C786" s="1"/>
      <c r="D786" s="1"/>
      <c r="E786" s="23"/>
    </row>
    <row r="787" spans="1:5" ht="16.5" customHeight="1">
      <c r="A787" s="1"/>
      <c r="B787" s="1"/>
      <c r="C787" s="1"/>
      <c r="D787" s="1"/>
      <c r="E787" s="23"/>
    </row>
    <row r="788" spans="1:5" ht="16.5" customHeight="1">
      <c r="A788" s="1"/>
      <c r="B788" s="1"/>
      <c r="C788" s="1"/>
      <c r="D788" s="1"/>
      <c r="E788" s="23"/>
    </row>
    <row r="789" spans="1:5" ht="16.5" customHeight="1">
      <c r="A789" s="1"/>
      <c r="B789" s="1"/>
      <c r="C789" s="1"/>
      <c r="D789" s="1"/>
      <c r="E789" s="23"/>
    </row>
    <row r="790" spans="1:5" ht="16.5" customHeight="1">
      <c r="A790" s="1"/>
      <c r="B790" s="1"/>
      <c r="C790" s="1"/>
      <c r="D790" s="1"/>
      <c r="E790" s="23"/>
    </row>
    <row r="791" spans="1:5" ht="16.5" customHeight="1">
      <c r="A791" s="1"/>
      <c r="B791" s="1"/>
      <c r="C791" s="1"/>
      <c r="D791" s="1"/>
      <c r="E791" s="23"/>
    </row>
    <row r="792" spans="1:5" ht="16.5" customHeight="1">
      <c r="A792" s="1"/>
      <c r="B792" s="1"/>
      <c r="C792" s="1"/>
      <c r="D792" s="1"/>
      <c r="E792" s="23"/>
    </row>
    <row r="793" spans="1:5" ht="16.5" customHeight="1">
      <c r="A793" s="1"/>
      <c r="B793" s="1"/>
      <c r="C793" s="1"/>
      <c r="D793" s="1"/>
      <c r="E793" s="23"/>
    </row>
    <row r="794" spans="1:5" ht="16.5" customHeight="1">
      <c r="A794" s="1"/>
      <c r="B794" s="1"/>
      <c r="C794" s="1"/>
      <c r="D794" s="1"/>
      <c r="E794" s="23"/>
    </row>
    <row r="795" spans="1:5" ht="16.5" customHeight="1">
      <c r="A795" s="1"/>
      <c r="B795" s="1"/>
      <c r="C795" s="1"/>
      <c r="D795" s="1"/>
      <c r="E795" s="23"/>
    </row>
    <row r="796" spans="1:5" ht="16.5" customHeight="1">
      <c r="A796" s="1"/>
      <c r="B796" s="1"/>
      <c r="C796" s="1"/>
      <c r="D796" s="1"/>
      <c r="E796" s="23"/>
    </row>
    <row r="797" spans="1:5" ht="16.5" customHeight="1">
      <c r="A797" s="1"/>
      <c r="B797" s="1"/>
      <c r="C797" s="1"/>
      <c r="D797" s="1"/>
      <c r="E797" s="23"/>
    </row>
    <row r="798" spans="1:5" ht="16.5" customHeight="1">
      <c r="A798" s="1"/>
      <c r="B798" s="1"/>
      <c r="C798" s="1"/>
      <c r="D798" s="1"/>
      <c r="E798" s="23"/>
    </row>
    <row r="799" spans="1:5" ht="16.5" customHeight="1">
      <c r="A799" s="1"/>
      <c r="B799" s="1"/>
      <c r="C799" s="1"/>
      <c r="D799" s="1"/>
      <c r="E799" s="23"/>
    </row>
    <row r="800" spans="1:5" ht="16.5" customHeight="1">
      <c r="A800" s="1"/>
      <c r="B800" s="1"/>
      <c r="C800" s="1"/>
      <c r="D800" s="1"/>
      <c r="E800" s="23"/>
    </row>
    <row r="801" spans="1:5" ht="16.5" customHeight="1">
      <c r="A801" s="1"/>
      <c r="B801" s="1"/>
      <c r="C801" s="1"/>
      <c r="D801" s="1"/>
      <c r="E801" s="23"/>
    </row>
    <row r="802" spans="1:5" ht="16.5" customHeight="1">
      <c r="A802" s="1"/>
      <c r="B802" s="1"/>
      <c r="C802" s="1"/>
      <c r="D802" s="1"/>
      <c r="E802" s="23"/>
    </row>
    <row r="803" spans="1:5" ht="16.5" customHeight="1">
      <c r="A803" s="1"/>
      <c r="B803" s="1"/>
      <c r="C803" s="1"/>
      <c r="D803" s="1"/>
      <c r="E803" s="23"/>
    </row>
    <row r="804" spans="1:5" ht="16.5" customHeight="1">
      <c r="A804" s="1"/>
      <c r="B804" s="1"/>
      <c r="C804" s="1"/>
      <c r="D804" s="1"/>
      <c r="E804" s="23"/>
    </row>
    <row r="805" spans="1:5" ht="16.5" customHeight="1">
      <c r="A805" s="1"/>
      <c r="B805" s="1"/>
      <c r="C805" s="1"/>
      <c r="D805" s="1"/>
      <c r="E805" s="23"/>
    </row>
    <row r="806" spans="1:5" ht="16.5" customHeight="1">
      <c r="A806" s="1"/>
      <c r="B806" s="1"/>
      <c r="C806" s="1"/>
      <c r="D806" s="1"/>
      <c r="E806" s="23"/>
    </row>
    <row r="807" spans="1:5" ht="16.5" customHeight="1">
      <c r="A807" s="1"/>
      <c r="B807" s="1"/>
      <c r="C807" s="1"/>
      <c r="D807" s="1"/>
      <c r="E807" s="23"/>
    </row>
    <row r="808" spans="1:5" ht="16.5" customHeight="1">
      <c r="A808" s="1"/>
      <c r="B808" s="1"/>
      <c r="C808" s="1"/>
      <c r="D808" s="1"/>
      <c r="E808" s="23"/>
    </row>
    <row r="809" spans="1:5" ht="16.5" customHeight="1">
      <c r="A809" s="1"/>
      <c r="B809" s="1"/>
      <c r="C809" s="1"/>
      <c r="D809" s="1"/>
      <c r="E809" s="23"/>
    </row>
    <row r="810" spans="1:5" ht="16.5" customHeight="1">
      <c r="A810" s="1"/>
      <c r="B810" s="1"/>
      <c r="C810" s="1"/>
      <c r="D810" s="1"/>
      <c r="E810" s="23"/>
    </row>
    <row r="811" spans="1:5" ht="16.5" customHeight="1">
      <c r="A811" s="1"/>
      <c r="B811" s="1"/>
      <c r="C811" s="1"/>
      <c r="D811" s="1"/>
      <c r="E811" s="23"/>
    </row>
    <row r="812" spans="1:5" ht="16.5" customHeight="1">
      <c r="A812" s="1"/>
      <c r="B812" s="1"/>
      <c r="C812" s="1"/>
      <c r="D812" s="1"/>
      <c r="E812" s="23"/>
    </row>
    <row r="813" spans="1:5" ht="16.5" customHeight="1">
      <c r="A813" s="1"/>
      <c r="B813" s="1"/>
      <c r="C813" s="1"/>
      <c r="D813" s="1"/>
      <c r="E813" s="23"/>
    </row>
    <row r="814" spans="1:5" ht="16.5" customHeight="1">
      <c r="A814" s="1"/>
      <c r="B814" s="1"/>
      <c r="C814" s="1"/>
      <c r="D814" s="1"/>
      <c r="E814" s="23"/>
    </row>
    <row r="815" spans="1:5" ht="16.5" customHeight="1">
      <c r="A815" s="1"/>
      <c r="B815" s="1"/>
      <c r="C815" s="1"/>
      <c r="D815" s="1"/>
      <c r="E815" s="23"/>
    </row>
    <row r="816" spans="1:5" ht="16.5" customHeight="1">
      <c r="A816" s="1"/>
      <c r="B816" s="1"/>
      <c r="C816" s="1"/>
      <c r="D816" s="1"/>
      <c r="E816" s="23"/>
    </row>
    <row r="817" spans="1:5" ht="16.5" customHeight="1">
      <c r="A817" s="1"/>
      <c r="B817" s="1"/>
      <c r="C817" s="1"/>
      <c r="D817" s="1"/>
      <c r="E817" s="23"/>
    </row>
    <row r="818" spans="1:5" ht="16.5" customHeight="1">
      <c r="A818" s="1"/>
      <c r="B818" s="1"/>
      <c r="C818" s="1"/>
      <c r="D818" s="1"/>
      <c r="E818" s="23"/>
    </row>
    <row r="819" spans="1:5" ht="16.5" customHeight="1">
      <c r="A819" s="1"/>
      <c r="B819" s="1"/>
      <c r="C819" s="1"/>
      <c r="D819" s="1"/>
      <c r="E819" s="23"/>
    </row>
    <row r="820" spans="1:5" ht="16.5" customHeight="1">
      <c r="A820" s="1"/>
      <c r="B820" s="1"/>
      <c r="C820" s="1"/>
      <c r="D820" s="1"/>
      <c r="E820" s="23"/>
    </row>
    <row r="821" spans="1:5" ht="16.5" customHeight="1">
      <c r="A821" s="1"/>
      <c r="B821" s="1"/>
      <c r="C821" s="1"/>
      <c r="D821" s="1"/>
      <c r="E821" s="23"/>
    </row>
    <row r="822" spans="1:5" ht="16.5" customHeight="1">
      <c r="A822" s="1"/>
      <c r="B822" s="1"/>
      <c r="C822" s="1"/>
      <c r="D822" s="1"/>
      <c r="E822" s="23"/>
    </row>
    <row r="823" spans="1:5" ht="16.5" customHeight="1">
      <c r="A823" s="1"/>
      <c r="B823" s="1"/>
      <c r="C823" s="1"/>
      <c r="D823" s="1"/>
      <c r="E823" s="23"/>
    </row>
    <row r="824" spans="1:5" ht="16.5" customHeight="1">
      <c r="A824" s="1"/>
      <c r="B824" s="1"/>
      <c r="C824" s="1"/>
      <c r="D824" s="1"/>
      <c r="E824" s="23"/>
    </row>
    <row r="825" spans="1:5" ht="16.5" customHeight="1">
      <c r="A825" s="1"/>
      <c r="B825" s="1"/>
      <c r="C825" s="1"/>
      <c r="D825" s="1"/>
      <c r="E825" s="23"/>
    </row>
    <row r="826" spans="1:5" ht="16.5" customHeight="1">
      <c r="A826" s="1"/>
      <c r="B826" s="1"/>
      <c r="C826" s="1"/>
      <c r="D826" s="1"/>
      <c r="E826" s="23"/>
    </row>
    <row r="827" spans="1:5" ht="16.5" customHeight="1">
      <c r="A827" s="1"/>
      <c r="B827" s="1"/>
      <c r="C827" s="1"/>
      <c r="D827" s="1"/>
      <c r="E827" s="23"/>
    </row>
    <row r="828" spans="1:5" ht="16.5" customHeight="1">
      <c r="A828" s="1"/>
      <c r="B828" s="1"/>
      <c r="C828" s="1"/>
      <c r="D828" s="1"/>
      <c r="E828" s="23"/>
    </row>
    <row r="829" spans="1:5" ht="16.5" customHeight="1">
      <c r="A829" s="1"/>
      <c r="B829" s="1"/>
      <c r="C829" s="1"/>
      <c r="D829" s="1"/>
      <c r="E829" s="23"/>
    </row>
    <row r="830" spans="1:5" ht="16.5" customHeight="1">
      <c r="A830" s="1"/>
      <c r="B830" s="1"/>
      <c r="C830" s="1"/>
      <c r="D830" s="1"/>
      <c r="E830" s="23"/>
    </row>
    <row r="831" spans="1:5" ht="16.5" customHeight="1">
      <c r="A831" s="1"/>
      <c r="B831" s="1"/>
      <c r="C831" s="1"/>
      <c r="D831" s="1"/>
      <c r="E831" s="23"/>
    </row>
    <row r="832" spans="1:5" ht="16.5" customHeight="1">
      <c r="A832" s="1"/>
      <c r="B832" s="1"/>
      <c r="C832" s="1"/>
      <c r="D832" s="1"/>
      <c r="E832" s="23"/>
    </row>
    <row r="833" spans="1:5" ht="16.5" customHeight="1">
      <c r="A833" s="1"/>
      <c r="B833" s="1"/>
      <c r="C833" s="1"/>
      <c r="D833" s="1"/>
      <c r="E833" s="23"/>
    </row>
    <row r="834" spans="1:5" ht="16.5" customHeight="1">
      <c r="A834" s="1"/>
      <c r="B834" s="1"/>
      <c r="C834" s="1"/>
      <c r="D834" s="1"/>
      <c r="E834" s="23"/>
    </row>
    <row r="835" spans="1:5" ht="16.5" customHeight="1">
      <c r="A835" s="1"/>
      <c r="B835" s="1"/>
      <c r="C835" s="1"/>
      <c r="D835" s="1"/>
      <c r="E835" s="23"/>
    </row>
    <row r="836" spans="1:5" ht="16.5" customHeight="1">
      <c r="A836" s="1"/>
      <c r="B836" s="1"/>
      <c r="C836" s="1"/>
      <c r="D836" s="1"/>
      <c r="E836" s="23"/>
    </row>
    <row r="837" spans="1:5" ht="16.5" customHeight="1">
      <c r="A837" s="1"/>
      <c r="B837" s="1"/>
      <c r="C837" s="1"/>
      <c r="D837" s="1"/>
      <c r="E837" s="23"/>
    </row>
    <row r="838" spans="1:5" ht="16.5" customHeight="1">
      <c r="A838" s="1"/>
      <c r="B838" s="1"/>
      <c r="C838" s="1"/>
      <c r="D838" s="1"/>
      <c r="E838" s="23"/>
    </row>
    <row r="839" spans="1:5" ht="16.5" customHeight="1">
      <c r="A839" s="1"/>
      <c r="B839" s="1"/>
      <c r="C839" s="1"/>
      <c r="D839" s="1"/>
      <c r="E839" s="23"/>
    </row>
    <row r="840" spans="1:5" ht="16.5" customHeight="1">
      <c r="A840" s="1"/>
      <c r="B840" s="1"/>
      <c r="C840" s="1"/>
      <c r="D840" s="1"/>
      <c r="E840" s="23"/>
    </row>
    <row r="841" spans="1:5" ht="16.5" customHeight="1">
      <c r="A841" s="1"/>
      <c r="B841" s="1"/>
      <c r="C841" s="1"/>
      <c r="D841" s="1"/>
      <c r="E841" s="23"/>
    </row>
    <row r="842" spans="1:5" ht="16.5" customHeight="1">
      <c r="A842" s="1"/>
      <c r="B842" s="1"/>
      <c r="C842" s="1"/>
      <c r="D842" s="1"/>
      <c r="E842" s="23"/>
    </row>
    <row r="843" spans="1:5" ht="16.5" customHeight="1">
      <c r="A843" s="1"/>
      <c r="B843" s="1"/>
      <c r="C843" s="1"/>
      <c r="D843" s="1"/>
      <c r="E843" s="23"/>
    </row>
    <row r="844" spans="1:5" ht="16.5" customHeight="1">
      <c r="A844" s="1"/>
      <c r="B844" s="1"/>
      <c r="C844" s="1"/>
      <c r="D844" s="1"/>
      <c r="E844" s="23"/>
    </row>
    <row r="845" spans="1:5" ht="16.5" customHeight="1">
      <c r="A845" s="1"/>
      <c r="B845" s="1"/>
      <c r="C845" s="1"/>
      <c r="D845" s="1"/>
      <c r="E845" s="23"/>
    </row>
    <row r="846" spans="1:5" ht="16.5" customHeight="1">
      <c r="A846" s="1"/>
      <c r="B846" s="1"/>
      <c r="C846" s="1"/>
      <c r="D846" s="1"/>
      <c r="E846" s="23"/>
    </row>
    <row r="847" spans="1:5" ht="16.5" customHeight="1">
      <c r="A847" s="1"/>
      <c r="B847" s="1"/>
      <c r="C847" s="1"/>
      <c r="D847" s="1"/>
      <c r="E847" s="23"/>
    </row>
    <row r="848" spans="1:5" ht="16.5" customHeight="1">
      <c r="A848" s="1"/>
      <c r="B848" s="1"/>
      <c r="C848" s="1"/>
      <c r="D848" s="1"/>
      <c r="E848" s="23"/>
    </row>
    <row r="849" spans="1:5" ht="16.5" customHeight="1">
      <c r="A849" s="1"/>
      <c r="B849" s="1"/>
      <c r="C849" s="1"/>
      <c r="D849" s="1"/>
      <c r="E849" s="23"/>
    </row>
    <row r="850" spans="1:5" ht="16.5" customHeight="1">
      <c r="A850" s="1"/>
      <c r="B850" s="1"/>
      <c r="C850" s="1"/>
      <c r="D850" s="1"/>
      <c r="E850" s="23"/>
    </row>
    <row r="851" spans="1:5" ht="16.5" customHeight="1">
      <c r="A851" s="1"/>
      <c r="B851" s="1"/>
      <c r="C851" s="1"/>
      <c r="D851" s="1"/>
      <c r="E851" s="23"/>
    </row>
    <row r="852" spans="1:5" ht="16.5" customHeight="1">
      <c r="A852" s="1"/>
      <c r="B852" s="1"/>
      <c r="C852" s="1"/>
      <c r="D852" s="1"/>
      <c r="E852" s="23"/>
    </row>
    <row r="853" spans="1:5" ht="16.5" customHeight="1">
      <c r="A853" s="1"/>
      <c r="B853" s="1"/>
      <c r="C853" s="1"/>
      <c r="D853" s="1"/>
      <c r="E853" s="23"/>
    </row>
    <row r="854" spans="1:5" ht="16.5" customHeight="1">
      <c r="A854" s="1"/>
      <c r="B854" s="1"/>
      <c r="C854" s="1"/>
      <c r="D854" s="1"/>
      <c r="E854" s="23"/>
    </row>
    <row r="855" spans="1:5" ht="16.5" customHeight="1">
      <c r="A855" s="1"/>
      <c r="B855" s="1"/>
      <c r="C855" s="1"/>
      <c r="D855" s="1"/>
      <c r="E855" s="23"/>
    </row>
    <row r="856" spans="1:5" ht="16.5" customHeight="1">
      <c r="A856" s="1"/>
      <c r="B856" s="1"/>
      <c r="C856" s="1"/>
      <c r="D856" s="1"/>
      <c r="E856" s="23"/>
    </row>
    <row r="857" spans="1:5" ht="16.5" customHeight="1">
      <c r="A857" s="1"/>
      <c r="B857" s="1"/>
      <c r="C857" s="1"/>
      <c r="D857" s="1"/>
      <c r="E857" s="23"/>
    </row>
    <row r="858" spans="1:5" ht="16.5" customHeight="1">
      <c r="A858" s="1"/>
      <c r="B858" s="1"/>
      <c r="C858" s="1"/>
      <c r="D858" s="1"/>
      <c r="E858" s="23"/>
    </row>
    <row r="859" spans="1:5" ht="16.5" customHeight="1">
      <c r="A859" s="1"/>
      <c r="B859" s="1"/>
      <c r="C859" s="1"/>
      <c r="D859" s="1"/>
      <c r="E859" s="23"/>
    </row>
    <row r="860" spans="1:5" ht="16.5" customHeight="1">
      <c r="A860" s="1"/>
      <c r="B860" s="1"/>
      <c r="C860" s="1"/>
      <c r="D860" s="1"/>
      <c r="E860" s="23"/>
    </row>
    <row r="861" spans="1:5" ht="16.5" customHeight="1">
      <c r="A861" s="1"/>
      <c r="B861" s="1"/>
      <c r="C861" s="1"/>
      <c r="D861" s="1"/>
      <c r="E861" s="23"/>
    </row>
    <row r="862" spans="1:5" ht="16.5" customHeight="1">
      <c r="A862" s="1"/>
      <c r="B862" s="1"/>
      <c r="C862" s="1"/>
      <c r="D862" s="1"/>
      <c r="E862" s="23"/>
    </row>
    <row r="863" spans="1:5" ht="16.5" customHeight="1">
      <c r="A863" s="1"/>
      <c r="B863" s="1"/>
      <c r="C863" s="1"/>
      <c r="D863" s="1"/>
      <c r="E863" s="23"/>
    </row>
    <row r="864" spans="1:5" ht="16.5" customHeight="1">
      <c r="A864" s="1"/>
      <c r="B864" s="1"/>
      <c r="C864" s="1"/>
      <c r="D864" s="1"/>
      <c r="E864" s="23"/>
    </row>
    <row r="865" spans="1:5" ht="16.5" customHeight="1">
      <c r="A865" s="1"/>
      <c r="B865" s="1"/>
      <c r="C865" s="1"/>
      <c r="D865" s="1"/>
      <c r="E865" s="23"/>
    </row>
    <row r="866" spans="1:5" ht="16.5" customHeight="1">
      <c r="A866" s="1"/>
      <c r="B866" s="1"/>
      <c r="C866" s="1"/>
      <c r="D866" s="1"/>
      <c r="E866" s="23"/>
    </row>
    <row r="867" spans="1:5" ht="16.5" customHeight="1">
      <c r="A867" s="1"/>
      <c r="B867" s="1"/>
      <c r="C867" s="1"/>
      <c r="D867" s="1"/>
      <c r="E867" s="23"/>
    </row>
    <row r="868" spans="1:5" ht="16.5" customHeight="1">
      <c r="A868" s="1"/>
      <c r="B868" s="1"/>
      <c r="C868" s="1"/>
      <c r="D868" s="1"/>
      <c r="E868" s="23"/>
    </row>
    <row r="869" spans="1:5" ht="16.5" customHeight="1">
      <c r="A869" s="1"/>
      <c r="B869" s="1"/>
      <c r="C869" s="1"/>
      <c r="D869" s="1"/>
      <c r="E869" s="23"/>
    </row>
    <row r="870" spans="1:5" ht="16.5" customHeight="1">
      <c r="A870" s="1"/>
      <c r="B870" s="1"/>
      <c r="C870" s="1"/>
      <c r="D870" s="1"/>
      <c r="E870" s="23"/>
    </row>
    <row r="871" spans="1:5" ht="16.5" customHeight="1">
      <c r="A871" s="1"/>
      <c r="B871" s="1"/>
      <c r="C871" s="1"/>
      <c r="D871" s="1"/>
      <c r="E871" s="23"/>
    </row>
    <row r="872" spans="1:5" ht="16.5" customHeight="1">
      <c r="A872" s="1"/>
      <c r="B872" s="1"/>
      <c r="C872" s="1"/>
      <c r="D872" s="1"/>
      <c r="E872" s="23"/>
    </row>
    <row r="873" spans="1:5" ht="16.5" customHeight="1">
      <c r="A873" s="1"/>
      <c r="B873" s="1"/>
      <c r="C873" s="1"/>
      <c r="D873" s="1"/>
      <c r="E873" s="23"/>
    </row>
    <row r="874" spans="1:5" ht="16.5" customHeight="1">
      <c r="A874" s="1"/>
      <c r="B874" s="1"/>
      <c r="C874" s="1"/>
      <c r="D874" s="1"/>
      <c r="E874" s="23"/>
    </row>
    <row r="875" spans="1:5" ht="16.5" customHeight="1">
      <c r="A875" s="1"/>
      <c r="B875" s="1"/>
      <c r="C875" s="1"/>
      <c r="D875" s="1"/>
      <c r="E875" s="23"/>
    </row>
    <row r="876" spans="1:5" ht="16.5" customHeight="1">
      <c r="A876" s="1"/>
      <c r="B876" s="1"/>
      <c r="C876" s="1"/>
      <c r="D876" s="1"/>
      <c r="E876" s="23"/>
    </row>
    <row r="877" spans="1:5" ht="16.5" customHeight="1">
      <c r="A877" s="1"/>
      <c r="B877" s="1"/>
      <c r="C877" s="1"/>
      <c r="D877" s="1"/>
      <c r="E877" s="23"/>
    </row>
    <row r="878" spans="1:5" ht="16.5" customHeight="1">
      <c r="A878" s="1"/>
      <c r="B878" s="1"/>
      <c r="C878" s="1"/>
      <c r="D878" s="1"/>
      <c r="E878" s="23"/>
    </row>
    <row r="879" spans="1:5" ht="16.5" customHeight="1">
      <c r="A879" s="1"/>
      <c r="B879" s="1"/>
      <c r="C879" s="1"/>
      <c r="D879" s="1"/>
      <c r="E879" s="23"/>
    </row>
    <row r="880" spans="1:5" ht="16.5" customHeight="1">
      <c r="A880" s="1"/>
      <c r="B880" s="1"/>
      <c r="C880" s="1"/>
      <c r="D880" s="1"/>
      <c r="E880" s="23"/>
    </row>
    <row r="881" spans="1:5" ht="16.5" customHeight="1">
      <c r="A881" s="1"/>
      <c r="B881" s="1"/>
      <c r="C881" s="1"/>
      <c r="D881" s="1"/>
      <c r="E881" s="23"/>
    </row>
    <row r="882" spans="1:5" ht="16.5" customHeight="1">
      <c r="A882" s="1"/>
      <c r="B882" s="1"/>
      <c r="C882" s="1"/>
      <c r="D882" s="1"/>
      <c r="E882" s="23"/>
    </row>
    <row r="883" spans="1:5" ht="16.5" customHeight="1">
      <c r="A883" s="1"/>
      <c r="B883" s="1"/>
      <c r="C883" s="1"/>
      <c r="D883" s="1"/>
      <c r="E883" s="23"/>
    </row>
    <row r="884" spans="1:5" ht="16.5" customHeight="1">
      <c r="A884" s="1"/>
      <c r="B884" s="1"/>
      <c r="C884" s="1"/>
      <c r="D884" s="1"/>
      <c r="E884" s="23"/>
    </row>
    <row r="885" spans="1:5" ht="16.5" customHeight="1">
      <c r="A885" s="1"/>
      <c r="B885" s="1"/>
      <c r="C885" s="1"/>
      <c r="D885" s="1"/>
      <c r="E885" s="23"/>
    </row>
    <row r="886" spans="1:5" ht="16.5" customHeight="1">
      <c r="A886" s="1"/>
      <c r="B886" s="1"/>
      <c r="C886" s="1"/>
      <c r="D886" s="1"/>
      <c r="E886" s="23"/>
    </row>
    <row r="887" spans="1:5" ht="16.5" customHeight="1">
      <c r="A887" s="1"/>
      <c r="B887" s="1"/>
      <c r="C887" s="1"/>
      <c r="D887" s="1"/>
      <c r="E887" s="23"/>
    </row>
    <row r="888" spans="1:5" ht="16.5" customHeight="1">
      <c r="A888" s="1"/>
      <c r="B888" s="1"/>
      <c r="C888" s="1"/>
      <c r="D888" s="1"/>
      <c r="E888" s="23"/>
    </row>
    <row r="889" spans="1:5" ht="16.5" customHeight="1">
      <c r="A889" s="1"/>
      <c r="B889" s="1"/>
      <c r="C889" s="1"/>
      <c r="D889" s="1"/>
      <c r="E889" s="23"/>
    </row>
    <row r="890" spans="1:5" ht="16.5" customHeight="1">
      <c r="A890" s="1"/>
      <c r="B890" s="1"/>
      <c r="C890" s="1"/>
      <c r="D890" s="1"/>
      <c r="E890" s="23"/>
    </row>
    <row r="891" spans="1:5" ht="16.5" customHeight="1">
      <c r="A891" s="1"/>
      <c r="B891" s="1"/>
      <c r="C891" s="1"/>
      <c r="D891" s="1"/>
      <c r="E891" s="23"/>
    </row>
    <row r="892" spans="1:5" ht="16.5" customHeight="1">
      <c r="A892" s="1"/>
      <c r="B892" s="1"/>
      <c r="C892" s="1"/>
      <c r="D892" s="1"/>
      <c r="E892" s="23"/>
    </row>
    <row r="893" spans="1:5" ht="16.5" customHeight="1">
      <c r="A893" s="1"/>
      <c r="B893" s="1"/>
      <c r="C893" s="1"/>
      <c r="D893" s="1"/>
      <c r="E893" s="23"/>
    </row>
    <row r="894" spans="1:5" ht="16.5" customHeight="1">
      <c r="A894" s="1"/>
      <c r="B894" s="1"/>
      <c r="C894" s="1"/>
      <c r="D894" s="1"/>
      <c r="E894" s="23"/>
    </row>
    <row r="895" spans="1:5" ht="16.5" customHeight="1">
      <c r="A895" s="1"/>
      <c r="B895" s="1"/>
      <c r="C895" s="1"/>
      <c r="D895" s="1"/>
      <c r="E895" s="23"/>
    </row>
    <row r="896" spans="1:5" ht="16.5" customHeight="1">
      <c r="A896" s="1"/>
      <c r="B896" s="1"/>
      <c r="C896" s="1"/>
      <c r="D896" s="1"/>
      <c r="E896" s="23"/>
    </row>
    <row r="897" spans="1:5" ht="16.5" customHeight="1">
      <c r="A897" s="1"/>
      <c r="B897" s="1"/>
      <c r="C897" s="1"/>
      <c r="D897" s="1"/>
      <c r="E897" s="23"/>
    </row>
    <row r="898" spans="1:5" ht="16.5" customHeight="1">
      <c r="A898" s="1"/>
      <c r="B898" s="1"/>
      <c r="C898" s="1"/>
      <c r="D898" s="1"/>
      <c r="E898" s="23"/>
    </row>
    <row r="899" spans="1:5" ht="16.5" customHeight="1">
      <c r="A899" s="1"/>
      <c r="B899" s="1"/>
      <c r="C899" s="1"/>
      <c r="D899" s="1"/>
      <c r="E899" s="23"/>
    </row>
    <row r="900" spans="1:5" ht="16.5" customHeight="1">
      <c r="A900" s="1"/>
      <c r="B900" s="1"/>
      <c r="C900" s="1"/>
      <c r="D900" s="1"/>
      <c r="E900" s="23"/>
    </row>
  </sheetData>
  <phoneticPr fontId="10" type="noConversion"/>
  <pageMargins left="0.25" right="0.25" top="0.75" bottom="0.75" header="0" footer="0"/>
  <pageSetup paperSize="9" fitToHeight="0"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BAFD-D2E8-7844-8E9A-099BE6CB3773}">
  <sheetPr>
    <pageSetUpPr fitToPage="1"/>
  </sheetPr>
  <dimension ref="A1:J734"/>
  <sheetViews>
    <sheetView zoomScale="75" zoomScaleNormal="75" workbookViewId="0">
      <pane ySplit="1" topLeftCell="A2" activePane="bottomLeft" state="frozen"/>
      <selection pane="bottomLeft" activeCell="A3" sqref="A3"/>
    </sheetView>
  </sheetViews>
  <sheetFormatPr baseColWidth="10" defaultColWidth="11.140625" defaultRowHeight="15" customHeight="1"/>
  <cols>
    <col min="1" max="1" width="18.85546875" style="155" customWidth="1"/>
    <col min="2" max="2" width="22.42578125" style="155" bestFit="1" customWidth="1"/>
    <col min="3" max="3" width="48.85546875" style="155" bestFit="1" customWidth="1"/>
    <col min="4" max="4" width="27.28515625" style="155" bestFit="1" customWidth="1"/>
    <col min="5" max="5" width="9.140625" style="155" customWidth="1"/>
    <col min="6" max="7" width="11.28515625" style="157" bestFit="1" customWidth="1"/>
    <col min="8" max="9" width="13" style="156" customWidth="1"/>
    <col min="10" max="10" width="11.42578125" style="155" customWidth="1"/>
    <col min="11" max="25" width="6.85546875" style="155" customWidth="1"/>
    <col min="26" max="16384" width="11.140625" style="155"/>
  </cols>
  <sheetData>
    <row r="1" spans="1:10" ht="24">
      <c r="A1" s="173" t="s">
        <v>412</v>
      </c>
      <c r="B1" s="173"/>
    </row>
    <row r="2" spans="1:10" ht="38" thickBot="1">
      <c r="A2" s="172" t="s">
        <v>739</v>
      </c>
      <c r="B2" s="172"/>
      <c r="C2" s="172"/>
      <c r="D2" s="172"/>
      <c r="E2" s="165"/>
      <c r="F2" s="171"/>
      <c r="G2" s="171"/>
      <c r="J2" s="165"/>
    </row>
    <row r="3" spans="1:10" ht="30">
      <c r="A3" s="170" t="s">
        <v>222</v>
      </c>
      <c r="B3" s="169" t="s">
        <v>414</v>
      </c>
      <c r="C3" s="169" t="s">
        <v>1</v>
      </c>
      <c r="D3" s="169" t="s">
        <v>2</v>
      </c>
      <c r="E3" s="168" t="s">
        <v>4</v>
      </c>
      <c r="F3" s="167" t="s">
        <v>415</v>
      </c>
      <c r="G3" s="167" t="s">
        <v>416</v>
      </c>
      <c r="H3" s="166" t="s">
        <v>559</v>
      </c>
      <c r="I3" s="166" t="s">
        <v>560</v>
      </c>
      <c r="J3" s="165"/>
    </row>
    <row r="4" spans="1:10" ht="16.5" customHeight="1" thickBot="1">
      <c r="A4" s="164" t="s">
        <v>730</v>
      </c>
      <c r="B4" s="163" t="s">
        <v>718</v>
      </c>
      <c r="C4" s="163" t="s">
        <v>733</v>
      </c>
      <c r="D4" s="162" t="s">
        <v>735</v>
      </c>
      <c r="E4" s="161">
        <v>1</v>
      </c>
      <c r="F4" s="160">
        <v>45000</v>
      </c>
      <c r="G4" s="160">
        <v>1620</v>
      </c>
      <c r="H4" s="159">
        <f t="shared" ref="H4:I7" si="0">F4*0.8</f>
        <v>36000</v>
      </c>
      <c r="I4" s="159">
        <f t="shared" si="0"/>
        <v>1296</v>
      </c>
      <c r="J4" s="158"/>
    </row>
    <row r="5" spans="1:10" ht="16.5" customHeight="1" thickBot="1">
      <c r="A5" s="164" t="s">
        <v>731</v>
      </c>
      <c r="B5" s="163" t="s">
        <v>718</v>
      </c>
      <c r="C5" s="163" t="s">
        <v>734</v>
      </c>
      <c r="D5" s="162" t="s">
        <v>735</v>
      </c>
      <c r="E5" s="161">
        <v>1</v>
      </c>
      <c r="F5" s="160">
        <v>25000</v>
      </c>
      <c r="G5" s="160">
        <v>900</v>
      </c>
      <c r="H5" s="159">
        <f t="shared" si="0"/>
        <v>20000</v>
      </c>
      <c r="I5" s="159">
        <f t="shared" si="0"/>
        <v>720</v>
      </c>
      <c r="J5" s="158"/>
    </row>
    <row r="6" spans="1:10" ht="16.5" customHeight="1" thickBot="1">
      <c r="A6" s="164" t="s">
        <v>732</v>
      </c>
      <c r="B6" s="163" t="s">
        <v>718</v>
      </c>
      <c r="C6" s="163" t="s">
        <v>716</v>
      </c>
      <c r="D6" s="162" t="s">
        <v>719</v>
      </c>
      <c r="E6" s="161">
        <v>1</v>
      </c>
      <c r="F6" s="160">
        <v>30000</v>
      </c>
      <c r="G6" s="160">
        <v>1080</v>
      </c>
      <c r="H6" s="159">
        <f t="shared" si="0"/>
        <v>24000</v>
      </c>
      <c r="I6" s="159">
        <f t="shared" si="0"/>
        <v>864</v>
      </c>
      <c r="J6" s="158"/>
    </row>
    <row r="7" spans="1:10" ht="16.5" customHeight="1" thickBot="1">
      <c r="A7" s="164" t="s">
        <v>732</v>
      </c>
      <c r="B7" s="163" t="s">
        <v>718</v>
      </c>
      <c r="C7" s="163" t="s">
        <v>717</v>
      </c>
      <c r="D7" s="162" t="s">
        <v>719</v>
      </c>
      <c r="E7" s="161">
        <v>1</v>
      </c>
      <c r="F7" s="160">
        <v>17500</v>
      </c>
      <c r="G7" s="160">
        <v>630</v>
      </c>
      <c r="H7" s="159">
        <f t="shared" si="0"/>
        <v>14000</v>
      </c>
      <c r="I7" s="159">
        <f t="shared" si="0"/>
        <v>504</v>
      </c>
      <c r="J7" s="158"/>
    </row>
    <row r="8" spans="1:10" ht="16.5" customHeight="1"/>
    <row r="9" spans="1:10" ht="16.5" customHeight="1"/>
    <row r="10" spans="1:10" ht="16.5" customHeight="1"/>
    <row r="11" spans="1:10" ht="16.5" customHeight="1"/>
    <row r="12" spans="1:10" ht="16.5" customHeight="1"/>
    <row r="13" spans="1:10" ht="16.5" customHeight="1"/>
    <row r="14" spans="1:10" ht="16.5" customHeight="1"/>
    <row r="15" spans="1:10" ht="16.5" customHeight="1"/>
    <row r="16" spans="1:10"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sheetData>
  <phoneticPr fontId="57" type="noConversion"/>
  <pageMargins left="0.25" right="0.25" top="0.75" bottom="0.75" header="0" footer="0"/>
  <pageSetup paperSize="9"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907"/>
  <sheetViews>
    <sheetView zoomScale="75" zoomScaleNormal="75" workbookViewId="0">
      <pane ySplit="3" topLeftCell="A4" activePane="bottomLeft" state="frozen"/>
      <selection pane="bottomLeft" activeCell="E10" sqref="E10"/>
    </sheetView>
  </sheetViews>
  <sheetFormatPr baseColWidth="10" defaultColWidth="11.140625" defaultRowHeight="15" customHeight="1" outlineLevelRow="1"/>
  <cols>
    <col min="1" max="2" width="18.85546875" style="124" customWidth="1"/>
    <col min="3" max="3" width="45.42578125" style="124" customWidth="1"/>
    <col min="4" max="4" width="24.42578125" style="124" customWidth="1"/>
    <col min="5" max="5" width="13.28515625" style="124" customWidth="1"/>
    <col min="6" max="6" width="9.140625" style="124" customWidth="1"/>
    <col min="7" max="7" width="10.28515625" style="128" customWidth="1"/>
    <col min="8" max="8" width="14" style="128" customWidth="1"/>
    <col min="9" max="9" width="11.85546875" style="124" customWidth="1"/>
    <col min="10" max="10" width="8.5703125" style="124" customWidth="1"/>
    <col min="11" max="26" width="6.85546875" style="124" customWidth="1"/>
    <col min="27" max="16384" width="11.140625" style="124"/>
  </cols>
  <sheetData>
    <row r="1" spans="1:9" ht="23.25" customHeight="1">
      <c r="A1" s="183" t="s">
        <v>706</v>
      </c>
      <c r="B1" s="183"/>
      <c r="C1" s="183"/>
      <c r="D1" s="183"/>
      <c r="E1" s="183"/>
      <c r="F1" s="183"/>
      <c r="G1" s="183"/>
      <c r="H1" s="183"/>
    </row>
    <row r="2" spans="1:9" ht="60" customHeight="1">
      <c r="A2" s="180" t="s">
        <v>561</v>
      </c>
      <c r="B2" s="180"/>
      <c r="C2" s="180"/>
      <c r="D2" s="180"/>
      <c r="E2" s="180"/>
      <c r="F2" s="180"/>
      <c r="G2" s="180"/>
      <c r="H2" s="180"/>
    </row>
    <row r="3" spans="1:9" ht="24">
      <c r="A3" s="126" t="s">
        <v>412</v>
      </c>
      <c r="B3" s="126"/>
      <c r="E3" s="147"/>
    </row>
    <row r="4" spans="1:9" ht="38" thickBot="1">
      <c r="A4" s="121" t="s">
        <v>704</v>
      </c>
      <c r="B4" s="129"/>
      <c r="E4" s="147"/>
    </row>
    <row r="5" spans="1:9" ht="30" outlineLevel="1">
      <c r="A5" s="131" t="s">
        <v>222</v>
      </c>
      <c r="B5" s="131" t="s">
        <v>0</v>
      </c>
      <c r="C5" s="131" t="s">
        <v>1</v>
      </c>
      <c r="D5" s="131" t="s">
        <v>2</v>
      </c>
      <c r="E5" s="148" t="s">
        <v>3</v>
      </c>
      <c r="F5" s="130" t="s">
        <v>4</v>
      </c>
      <c r="G5" s="132" t="s">
        <v>415</v>
      </c>
      <c r="H5" s="150" t="s">
        <v>559</v>
      </c>
    </row>
    <row r="6" spans="1:9" ht="16.5" customHeight="1" outlineLevel="1" thickBot="1">
      <c r="A6" s="133" t="s">
        <v>102</v>
      </c>
      <c r="B6" s="134" t="s">
        <v>103</v>
      </c>
      <c r="C6" s="134" t="s">
        <v>104</v>
      </c>
      <c r="D6" s="135" t="s">
        <v>83</v>
      </c>
      <c r="E6" s="136" t="s">
        <v>105</v>
      </c>
      <c r="F6" s="137">
        <v>1</v>
      </c>
      <c r="G6" s="149">
        <v>66400</v>
      </c>
      <c r="H6" s="139">
        <f>G6/2</f>
        <v>33200</v>
      </c>
      <c r="I6" s="151"/>
    </row>
    <row r="7" spans="1:9" ht="16.5" customHeight="1" outlineLevel="1" thickBot="1">
      <c r="A7" s="133" t="s">
        <v>310</v>
      </c>
      <c r="B7" s="134" t="s">
        <v>103</v>
      </c>
      <c r="C7" s="134" t="s">
        <v>316</v>
      </c>
      <c r="D7" s="135" t="s">
        <v>83</v>
      </c>
      <c r="E7" s="136" t="s">
        <v>105</v>
      </c>
      <c r="F7" s="137">
        <v>1</v>
      </c>
      <c r="G7" s="149">
        <f>G6*1.2</f>
        <v>79680</v>
      </c>
      <c r="H7" s="139">
        <f>G7/2</f>
        <v>39840</v>
      </c>
      <c r="I7" s="151"/>
    </row>
    <row r="8" spans="1:9" ht="16.5" customHeight="1" outlineLevel="1" thickBot="1">
      <c r="A8" s="133" t="s">
        <v>311</v>
      </c>
      <c r="B8" s="134" t="s">
        <v>103</v>
      </c>
      <c r="C8" s="134" t="s">
        <v>317</v>
      </c>
      <c r="D8" s="135" t="s">
        <v>83</v>
      </c>
      <c r="E8" s="136" t="s">
        <v>105</v>
      </c>
      <c r="F8" s="137">
        <v>1</v>
      </c>
      <c r="G8" s="149">
        <f>G6*1.4</f>
        <v>92960</v>
      </c>
      <c r="H8" s="139">
        <f>G8/2</f>
        <v>46480</v>
      </c>
      <c r="I8" s="151"/>
    </row>
    <row r="9" spans="1:9" ht="16.5" customHeight="1" outlineLevel="1" thickBot="1">
      <c r="A9" s="133" t="s">
        <v>106</v>
      </c>
      <c r="B9" s="134" t="s">
        <v>103</v>
      </c>
      <c r="C9" s="134" t="s">
        <v>107</v>
      </c>
      <c r="D9" s="135" t="s">
        <v>87</v>
      </c>
      <c r="E9" s="136" t="s">
        <v>108</v>
      </c>
      <c r="F9" s="137">
        <v>1</v>
      </c>
      <c r="G9" s="149">
        <f>G6*0.2</f>
        <v>13280</v>
      </c>
      <c r="H9" s="139">
        <f>H6*0.2</f>
        <v>6640</v>
      </c>
      <c r="I9" s="151"/>
    </row>
    <row r="10" spans="1:9" ht="16.5" customHeight="1" outlineLevel="1" thickBot="1">
      <c r="A10" s="133"/>
      <c r="B10" s="134"/>
      <c r="C10" s="134"/>
      <c r="D10" s="135"/>
      <c r="E10" s="136"/>
      <c r="F10" s="137"/>
      <c r="G10" s="149"/>
      <c r="H10" s="139"/>
    </row>
    <row r="11" spans="1:9" ht="16.5" customHeight="1" outlineLevel="1" thickBot="1">
      <c r="A11" s="133" t="s">
        <v>109</v>
      </c>
      <c r="B11" s="134" t="s">
        <v>103</v>
      </c>
      <c r="C11" s="134" t="s">
        <v>110</v>
      </c>
      <c r="D11" s="135" t="s">
        <v>91</v>
      </c>
      <c r="E11" s="136" t="s">
        <v>105</v>
      </c>
      <c r="F11" s="137">
        <v>1</v>
      </c>
      <c r="G11" s="149">
        <v>356000</v>
      </c>
      <c r="H11" s="139">
        <f>G11/2</f>
        <v>178000</v>
      </c>
      <c r="I11" s="152"/>
    </row>
    <row r="12" spans="1:9" ht="16.5" customHeight="1" outlineLevel="1" thickBot="1">
      <c r="A12" s="133" t="s">
        <v>312</v>
      </c>
      <c r="B12" s="134" t="s">
        <v>103</v>
      </c>
      <c r="C12" s="134" t="s">
        <v>318</v>
      </c>
      <c r="D12" s="135" t="s">
        <v>91</v>
      </c>
      <c r="E12" s="136" t="s">
        <v>105</v>
      </c>
      <c r="F12" s="137">
        <v>1</v>
      </c>
      <c r="G12" s="149">
        <f>G11*1.2</f>
        <v>427200</v>
      </c>
      <c r="H12" s="139">
        <f>G12/2</f>
        <v>213600</v>
      </c>
      <c r="I12" s="152"/>
    </row>
    <row r="13" spans="1:9" ht="16.5" customHeight="1" outlineLevel="1" thickBot="1">
      <c r="A13" s="133" t="s">
        <v>313</v>
      </c>
      <c r="B13" s="134" t="s">
        <v>103</v>
      </c>
      <c r="C13" s="134" t="s">
        <v>319</v>
      </c>
      <c r="D13" s="135" t="s">
        <v>91</v>
      </c>
      <c r="E13" s="136" t="s">
        <v>105</v>
      </c>
      <c r="F13" s="137">
        <v>1</v>
      </c>
      <c r="G13" s="149">
        <f>G11*1.4</f>
        <v>498399.99999999994</v>
      </c>
      <c r="H13" s="139">
        <f>G13/2</f>
        <v>249199.99999999997</v>
      </c>
      <c r="I13" s="152"/>
    </row>
    <row r="14" spans="1:9" ht="16.5" customHeight="1" outlineLevel="1" thickBot="1">
      <c r="A14" s="133" t="s">
        <v>111</v>
      </c>
      <c r="B14" s="134" t="s">
        <v>103</v>
      </c>
      <c r="C14" s="134" t="s">
        <v>112</v>
      </c>
      <c r="D14" s="135" t="s">
        <v>94</v>
      </c>
      <c r="E14" s="136" t="s">
        <v>108</v>
      </c>
      <c r="F14" s="137">
        <v>1</v>
      </c>
      <c r="G14" s="149">
        <f>G11*0.2</f>
        <v>71200</v>
      </c>
      <c r="H14" s="139">
        <f>H11*0.2</f>
        <v>35600</v>
      </c>
      <c r="I14" s="152"/>
    </row>
    <row r="15" spans="1:9" ht="16.5" customHeight="1" outlineLevel="1" thickBot="1">
      <c r="A15" s="133"/>
      <c r="B15" s="134"/>
      <c r="C15" s="134"/>
      <c r="D15" s="135"/>
      <c r="E15" s="136"/>
      <c r="F15" s="137"/>
      <c r="G15" s="149"/>
      <c r="H15" s="139"/>
    </row>
    <row r="16" spans="1:9" ht="16.5" customHeight="1" outlineLevel="1" thickBot="1">
      <c r="A16" s="133" t="s">
        <v>113</v>
      </c>
      <c r="B16" s="134" t="s">
        <v>103</v>
      </c>
      <c r="C16" s="134" t="s">
        <v>114</v>
      </c>
      <c r="D16" s="135" t="s">
        <v>97</v>
      </c>
      <c r="E16" s="136" t="s">
        <v>105</v>
      </c>
      <c r="F16" s="137">
        <v>1</v>
      </c>
      <c r="G16" s="149">
        <v>666400</v>
      </c>
      <c r="H16" s="139">
        <f>G16/2</f>
        <v>333200</v>
      </c>
      <c r="I16" s="152"/>
    </row>
    <row r="17" spans="1:9" ht="16.5" customHeight="1" outlineLevel="1" thickBot="1">
      <c r="A17" s="133" t="s">
        <v>314</v>
      </c>
      <c r="B17" s="134" t="s">
        <v>103</v>
      </c>
      <c r="C17" s="134" t="s">
        <v>320</v>
      </c>
      <c r="D17" s="135" t="s">
        <v>97</v>
      </c>
      <c r="E17" s="136" t="s">
        <v>105</v>
      </c>
      <c r="F17" s="137">
        <v>1</v>
      </c>
      <c r="G17" s="149">
        <f>G16*1.2</f>
        <v>799680</v>
      </c>
      <c r="H17" s="139">
        <f>G17/2</f>
        <v>399840</v>
      </c>
      <c r="I17" s="152"/>
    </row>
    <row r="18" spans="1:9" ht="16.5" customHeight="1" outlineLevel="1" thickBot="1">
      <c r="A18" s="133" t="s">
        <v>315</v>
      </c>
      <c r="B18" s="134" t="s">
        <v>103</v>
      </c>
      <c r="C18" s="134" t="s">
        <v>321</v>
      </c>
      <c r="D18" s="135" t="s">
        <v>97</v>
      </c>
      <c r="E18" s="136" t="s">
        <v>105</v>
      </c>
      <c r="F18" s="137">
        <v>1</v>
      </c>
      <c r="G18" s="149">
        <f>G16*1.4</f>
        <v>932959.99999999988</v>
      </c>
      <c r="H18" s="139">
        <f>G18/2</f>
        <v>466479.99999999994</v>
      </c>
      <c r="I18" s="152"/>
    </row>
    <row r="19" spans="1:9" ht="16.5" customHeight="1" outlineLevel="1" thickBot="1">
      <c r="A19" s="133" t="s">
        <v>115</v>
      </c>
      <c r="B19" s="134" t="s">
        <v>103</v>
      </c>
      <c r="C19" s="134" t="s">
        <v>116</v>
      </c>
      <c r="D19" s="135" t="s">
        <v>100</v>
      </c>
      <c r="E19" s="136" t="s">
        <v>108</v>
      </c>
      <c r="F19" s="137">
        <v>1</v>
      </c>
      <c r="G19" s="149">
        <f>G16*0.2</f>
        <v>133280</v>
      </c>
      <c r="H19" s="139">
        <f>H16*0.2</f>
        <v>66640</v>
      </c>
      <c r="I19" s="152"/>
    </row>
    <row r="20" spans="1:9" ht="16.5" customHeight="1">
      <c r="A20" s="141"/>
      <c r="E20" s="147"/>
    </row>
    <row r="21" spans="1:9" ht="16.5" customHeight="1">
      <c r="E21" s="147"/>
    </row>
    <row r="22" spans="1:9" ht="16.5" customHeight="1">
      <c r="E22" s="147"/>
    </row>
    <row r="23" spans="1:9" ht="16.5" customHeight="1">
      <c r="E23" s="147"/>
    </row>
    <row r="24" spans="1:9" ht="16.5" customHeight="1">
      <c r="E24" s="147"/>
    </row>
    <row r="25" spans="1:9" ht="16.5" customHeight="1">
      <c r="E25" s="147"/>
    </row>
    <row r="26" spans="1:9" ht="16.5" customHeight="1">
      <c r="E26" s="147"/>
    </row>
    <row r="27" spans="1:9" ht="16.5" customHeight="1">
      <c r="E27" s="147"/>
    </row>
    <row r="28" spans="1:9" ht="16.5" customHeight="1">
      <c r="E28" s="147"/>
    </row>
    <row r="29" spans="1:9" ht="16.5" customHeight="1">
      <c r="E29" s="147"/>
    </row>
    <row r="30" spans="1:9" ht="16.5" customHeight="1">
      <c r="E30" s="147"/>
    </row>
    <row r="31" spans="1:9" ht="16.5" customHeight="1">
      <c r="E31" s="147"/>
    </row>
    <row r="32" spans="1:9" ht="16.5" customHeight="1">
      <c r="E32" s="147"/>
    </row>
    <row r="33" spans="5:5" ht="16.5" customHeight="1">
      <c r="E33" s="147"/>
    </row>
    <row r="34" spans="5:5" ht="16.5" customHeight="1">
      <c r="E34" s="147"/>
    </row>
    <row r="35" spans="5:5" ht="16.5" customHeight="1">
      <c r="E35" s="147"/>
    </row>
    <row r="36" spans="5:5" ht="16.5" customHeight="1">
      <c r="E36" s="147"/>
    </row>
    <row r="37" spans="5:5" ht="16.5" customHeight="1">
      <c r="E37" s="147"/>
    </row>
    <row r="38" spans="5:5" ht="16.5" customHeight="1">
      <c r="E38" s="147"/>
    </row>
    <row r="39" spans="5:5" ht="16.5" customHeight="1">
      <c r="E39" s="147"/>
    </row>
    <row r="40" spans="5:5" ht="16.5" customHeight="1">
      <c r="E40" s="147"/>
    </row>
    <row r="41" spans="5:5" ht="16.5" customHeight="1">
      <c r="E41" s="147"/>
    </row>
    <row r="42" spans="5:5" ht="16.5" customHeight="1">
      <c r="E42" s="147"/>
    </row>
    <row r="43" spans="5:5" ht="16.5" customHeight="1">
      <c r="E43" s="147"/>
    </row>
    <row r="44" spans="5:5" ht="16.5" customHeight="1">
      <c r="E44" s="147"/>
    </row>
    <row r="45" spans="5:5" ht="16.5" customHeight="1">
      <c r="E45" s="147"/>
    </row>
    <row r="46" spans="5:5" ht="16.5" customHeight="1">
      <c r="E46" s="147"/>
    </row>
    <row r="47" spans="5:5" ht="16.5" customHeight="1">
      <c r="E47" s="147"/>
    </row>
    <row r="48" spans="5:5" ht="16.5" customHeight="1">
      <c r="E48" s="147"/>
    </row>
    <row r="49" spans="5:5" ht="16.5" customHeight="1">
      <c r="E49" s="147"/>
    </row>
    <row r="50" spans="5:5" ht="16.5" customHeight="1">
      <c r="E50" s="147"/>
    </row>
    <row r="51" spans="5:5" ht="16.5" customHeight="1">
      <c r="E51" s="147"/>
    </row>
    <row r="52" spans="5:5" ht="16.5" customHeight="1">
      <c r="E52" s="147"/>
    </row>
    <row r="53" spans="5:5" ht="16.5" customHeight="1">
      <c r="E53" s="147"/>
    </row>
    <row r="54" spans="5:5" ht="16.5" customHeight="1">
      <c r="E54" s="147"/>
    </row>
    <row r="55" spans="5:5" ht="16.5" customHeight="1">
      <c r="E55" s="147"/>
    </row>
    <row r="56" spans="5:5" ht="16.5" customHeight="1">
      <c r="E56" s="147"/>
    </row>
    <row r="57" spans="5:5" ht="16.5" customHeight="1">
      <c r="E57" s="147"/>
    </row>
    <row r="58" spans="5:5" ht="16.5" customHeight="1">
      <c r="E58" s="147"/>
    </row>
    <row r="59" spans="5:5" ht="16.5" customHeight="1">
      <c r="E59" s="147"/>
    </row>
    <row r="60" spans="5:5" ht="16.5" customHeight="1">
      <c r="E60" s="147"/>
    </row>
    <row r="61" spans="5:5" ht="16.5" customHeight="1">
      <c r="E61" s="147"/>
    </row>
    <row r="62" spans="5:5" ht="16.5" customHeight="1">
      <c r="E62" s="147"/>
    </row>
    <row r="63" spans="5:5" ht="16.5" customHeight="1">
      <c r="E63" s="147"/>
    </row>
    <row r="64" spans="5:5" ht="16.5" customHeight="1">
      <c r="E64" s="147"/>
    </row>
    <row r="65" spans="5:5" ht="16.5" customHeight="1">
      <c r="E65" s="147"/>
    </row>
    <row r="66" spans="5:5" ht="16.5" customHeight="1">
      <c r="E66" s="147"/>
    </row>
    <row r="67" spans="5:5" ht="16.5" customHeight="1">
      <c r="E67" s="147"/>
    </row>
    <row r="68" spans="5:5" ht="16.5" customHeight="1">
      <c r="E68" s="147"/>
    </row>
    <row r="69" spans="5:5" ht="16.5" customHeight="1">
      <c r="E69" s="147"/>
    </row>
    <row r="70" spans="5:5" ht="16.5" customHeight="1">
      <c r="E70" s="147"/>
    </row>
    <row r="71" spans="5:5" ht="16.5" customHeight="1">
      <c r="E71" s="147"/>
    </row>
    <row r="72" spans="5:5" ht="16.5" customHeight="1">
      <c r="E72" s="147"/>
    </row>
    <row r="73" spans="5:5" ht="16.5" customHeight="1">
      <c r="E73" s="147"/>
    </row>
    <row r="74" spans="5:5" ht="16.5" customHeight="1">
      <c r="E74" s="147"/>
    </row>
    <row r="75" spans="5:5" ht="16.5" customHeight="1">
      <c r="E75" s="147"/>
    </row>
    <row r="76" spans="5:5" ht="16.5" customHeight="1">
      <c r="E76" s="147"/>
    </row>
    <row r="77" spans="5:5" ht="16.5" customHeight="1">
      <c r="E77" s="147"/>
    </row>
    <row r="78" spans="5:5" ht="16.5" customHeight="1">
      <c r="E78" s="147"/>
    </row>
    <row r="79" spans="5:5" ht="16.5" customHeight="1">
      <c r="E79" s="147"/>
    </row>
    <row r="80" spans="5:5" ht="16.5" customHeight="1">
      <c r="E80" s="147"/>
    </row>
    <row r="81" spans="5:5" ht="16.5" customHeight="1">
      <c r="E81" s="147"/>
    </row>
    <row r="82" spans="5:5" ht="16.5" customHeight="1">
      <c r="E82" s="147"/>
    </row>
    <row r="83" spans="5:5" ht="16.5" customHeight="1">
      <c r="E83" s="147"/>
    </row>
    <row r="84" spans="5:5" ht="16.5" customHeight="1">
      <c r="E84" s="147"/>
    </row>
    <row r="85" spans="5:5" ht="16.5" customHeight="1">
      <c r="E85" s="147"/>
    </row>
    <row r="86" spans="5:5" ht="16.5" customHeight="1">
      <c r="E86" s="147"/>
    </row>
    <row r="87" spans="5:5" ht="16.5" customHeight="1">
      <c r="E87" s="147"/>
    </row>
    <row r="88" spans="5:5" ht="16.5" customHeight="1">
      <c r="E88" s="147"/>
    </row>
    <row r="89" spans="5:5" ht="16.5" customHeight="1">
      <c r="E89" s="147"/>
    </row>
    <row r="90" spans="5:5" ht="16.5" customHeight="1">
      <c r="E90" s="147"/>
    </row>
    <row r="91" spans="5:5" ht="16.5" customHeight="1">
      <c r="E91" s="147"/>
    </row>
    <row r="92" spans="5:5" ht="16.5" customHeight="1">
      <c r="E92" s="147"/>
    </row>
    <row r="93" spans="5:5" ht="16.5" customHeight="1">
      <c r="E93" s="147"/>
    </row>
    <row r="94" spans="5:5" ht="16.5" customHeight="1">
      <c r="E94" s="147"/>
    </row>
    <row r="95" spans="5:5" ht="16.5" customHeight="1">
      <c r="E95" s="147"/>
    </row>
    <row r="96" spans="5:5" ht="16.5" customHeight="1">
      <c r="E96" s="147"/>
    </row>
    <row r="97" spans="5:5" ht="16.5" customHeight="1">
      <c r="E97" s="147"/>
    </row>
    <row r="98" spans="5:5" ht="16.5" customHeight="1">
      <c r="E98" s="147"/>
    </row>
    <row r="99" spans="5:5" ht="16.5" customHeight="1">
      <c r="E99" s="147"/>
    </row>
    <row r="100" spans="5:5" ht="16.5" customHeight="1">
      <c r="E100" s="147"/>
    </row>
    <row r="101" spans="5:5" ht="16.5" customHeight="1">
      <c r="E101" s="147"/>
    </row>
    <row r="102" spans="5:5" ht="16.5" customHeight="1">
      <c r="E102" s="147"/>
    </row>
    <row r="103" spans="5:5" ht="16.5" customHeight="1">
      <c r="E103" s="147"/>
    </row>
    <row r="104" spans="5:5" ht="16.5" customHeight="1">
      <c r="E104" s="147"/>
    </row>
    <row r="105" spans="5:5" ht="16.5" customHeight="1">
      <c r="E105" s="147"/>
    </row>
    <row r="106" spans="5:5" ht="16.5" customHeight="1">
      <c r="E106" s="147"/>
    </row>
    <row r="107" spans="5:5" ht="16.5" customHeight="1">
      <c r="E107" s="147"/>
    </row>
    <row r="108" spans="5:5" ht="16.5" customHeight="1">
      <c r="E108" s="147"/>
    </row>
    <row r="109" spans="5:5" ht="16.5" customHeight="1">
      <c r="E109" s="147"/>
    </row>
    <row r="110" spans="5:5" ht="16.5" customHeight="1">
      <c r="E110" s="147"/>
    </row>
    <row r="111" spans="5:5" ht="16.5" customHeight="1">
      <c r="E111" s="147"/>
    </row>
    <row r="112" spans="5:5" ht="16.5" customHeight="1">
      <c r="E112" s="147"/>
    </row>
    <row r="113" spans="5:5" ht="16.5" customHeight="1">
      <c r="E113" s="147"/>
    </row>
    <row r="114" spans="5:5" ht="16.5" customHeight="1">
      <c r="E114" s="147"/>
    </row>
    <row r="115" spans="5:5" ht="16.5" customHeight="1">
      <c r="E115" s="147"/>
    </row>
    <row r="116" spans="5:5" ht="16.5" customHeight="1">
      <c r="E116" s="147"/>
    </row>
    <row r="117" spans="5:5" ht="16.5" customHeight="1">
      <c r="E117" s="147"/>
    </row>
    <row r="118" spans="5:5" ht="16.5" customHeight="1">
      <c r="E118" s="147"/>
    </row>
    <row r="119" spans="5:5" ht="16.5" customHeight="1">
      <c r="E119" s="147"/>
    </row>
    <row r="120" spans="5:5" ht="16.5" customHeight="1">
      <c r="E120" s="147"/>
    </row>
    <row r="121" spans="5:5" ht="16.5" customHeight="1">
      <c r="E121" s="147"/>
    </row>
    <row r="122" spans="5:5" ht="16.5" customHeight="1">
      <c r="E122" s="147"/>
    </row>
    <row r="123" spans="5:5" ht="16.5" customHeight="1">
      <c r="E123" s="147"/>
    </row>
    <row r="124" spans="5:5" ht="16.5" customHeight="1">
      <c r="E124" s="147"/>
    </row>
    <row r="125" spans="5:5" ht="16.5" customHeight="1">
      <c r="E125" s="147"/>
    </row>
    <row r="126" spans="5:5" ht="16.5" customHeight="1">
      <c r="E126" s="147"/>
    </row>
    <row r="127" spans="5:5" ht="16.5" customHeight="1">
      <c r="E127" s="147"/>
    </row>
    <row r="128" spans="5:5" ht="16.5" customHeight="1">
      <c r="E128" s="147"/>
    </row>
    <row r="129" spans="5:5" ht="16.5" customHeight="1">
      <c r="E129" s="147"/>
    </row>
    <row r="130" spans="5:5" ht="16.5" customHeight="1">
      <c r="E130" s="147"/>
    </row>
    <row r="131" spans="5:5" ht="16.5" customHeight="1">
      <c r="E131" s="147"/>
    </row>
    <row r="132" spans="5:5" ht="16.5" customHeight="1">
      <c r="E132" s="147"/>
    </row>
    <row r="133" spans="5:5" ht="16.5" customHeight="1">
      <c r="E133" s="147"/>
    </row>
    <row r="134" spans="5:5" ht="16.5" customHeight="1">
      <c r="E134" s="147"/>
    </row>
    <row r="135" spans="5:5" ht="16.5" customHeight="1">
      <c r="E135" s="147"/>
    </row>
    <row r="136" spans="5:5" ht="16.5" customHeight="1">
      <c r="E136" s="147"/>
    </row>
    <row r="137" spans="5:5" ht="16.5" customHeight="1">
      <c r="E137" s="147"/>
    </row>
    <row r="138" spans="5:5" ht="16.5" customHeight="1">
      <c r="E138" s="147"/>
    </row>
    <row r="139" spans="5:5" ht="16.5" customHeight="1">
      <c r="E139" s="147"/>
    </row>
    <row r="140" spans="5:5" ht="16.5" customHeight="1">
      <c r="E140" s="147"/>
    </row>
    <row r="141" spans="5:5" ht="16.5" customHeight="1">
      <c r="E141" s="147"/>
    </row>
    <row r="142" spans="5:5" ht="16.5" customHeight="1">
      <c r="E142" s="147"/>
    </row>
    <row r="143" spans="5:5" ht="16.5" customHeight="1">
      <c r="E143" s="147"/>
    </row>
    <row r="144" spans="5:5" ht="16.5" customHeight="1">
      <c r="E144" s="147"/>
    </row>
    <row r="145" spans="5:5" ht="16.5" customHeight="1">
      <c r="E145" s="147"/>
    </row>
    <row r="146" spans="5:5" ht="16.5" customHeight="1">
      <c r="E146" s="147"/>
    </row>
    <row r="147" spans="5:5" ht="16.5" customHeight="1">
      <c r="E147" s="147"/>
    </row>
    <row r="148" spans="5:5" ht="16.5" customHeight="1">
      <c r="E148" s="147"/>
    </row>
    <row r="149" spans="5:5" ht="16.5" customHeight="1">
      <c r="E149" s="147"/>
    </row>
    <row r="150" spans="5:5" ht="16.5" customHeight="1">
      <c r="E150" s="147"/>
    </row>
    <row r="151" spans="5:5" ht="16.5" customHeight="1">
      <c r="E151" s="147"/>
    </row>
    <row r="152" spans="5:5" ht="16.5" customHeight="1">
      <c r="E152" s="147"/>
    </row>
    <row r="153" spans="5:5" ht="16.5" customHeight="1">
      <c r="E153" s="147"/>
    </row>
    <row r="154" spans="5:5" ht="16.5" customHeight="1">
      <c r="E154" s="147"/>
    </row>
    <row r="155" spans="5:5" ht="16.5" customHeight="1">
      <c r="E155" s="147"/>
    </row>
    <row r="156" spans="5:5" ht="16.5" customHeight="1">
      <c r="E156" s="147"/>
    </row>
    <row r="157" spans="5:5" ht="16.5" customHeight="1">
      <c r="E157" s="147"/>
    </row>
    <row r="158" spans="5:5" ht="16.5" customHeight="1">
      <c r="E158" s="147"/>
    </row>
    <row r="159" spans="5:5" ht="16.5" customHeight="1">
      <c r="E159" s="147"/>
    </row>
    <row r="160" spans="5:5" ht="16.5" customHeight="1">
      <c r="E160" s="147"/>
    </row>
    <row r="161" spans="5:5" ht="16.5" customHeight="1">
      <c r="E161" s="147"/>
    </row>
    <row r="162" spans="5:5" ht="16.5" customHeight="1">
      <c r="E162" s="147"/>
    </row>
    <row r="163" spans="5:5" ht="16.5" customHeight="1">
      <c r="E163" s="147"/>
    </row>
    <row r="164" spans="5:5" ht="16.5" customHeight="1">
      <c r="E164" s="147"/>
    </row>
    <row r="165" spans="5:5" ht="16.5" customHeight="1">
      <c r="E165" s="147"/>
    </row>
    <row r="166" spans="5:5" ht="16.5" customHeight="1">
      <c r="E166" s="147"/>
    </row>
    <row r="167" spans="5:5" ht="16.5" customHeight="1">
      <c r="E167" s="147"/>
    </row>
    <row r="168" spans="5:5" ht="16.5" customHeight="1">
      <c r="E168" s="147"/>
    </row>
    <row r="169" spans="5:5" ht="16.5" customHeight="1">
      <c r="E169" s="147"/>
    </row>
    <row r="170" spans="5:5" ht="16.5" customHeight="1">
      <c r="E170" s="147"/>
    </row>
    <row r="171" spans="5:5" ht="16.5" customHeight="1">
      <c r="E171" s="147"/>
    </row>
    <row r="172" spans="5:5" ht="16.5" customHeight="1">
      <c r="E172" s="147"/>
    </row>
    <row r="173" spans="5:5" ht="16.5" customHeight="1">
      <c r="E173" s="147"/>
    </row>
    <row r="174" spans="5:5" ht="16.5" customHeight="1">
      <c r="E174" s="147"/>
    </row>
    <row r="175" spans="5:5" ht="16.5" customHeight="1">
      <c r="E175" s="147"/>
    </row>
    <row r="176" spans="5:5" ht="16.5" customHeight="1">
      <c r="E176" s="147"/>
    </row>
    <row r="177" spans="5:5" ht="16.5" customHeight="1">
      <c r="E177" s="147"/>
    </row>
    <row r="178" spans="5:5" ht="16.5" customHeight="1">
      <c r="E178" s="147"/>
    </row>
    <row r="179" spans="5:5" ht="16.5" customHeight="1">
      <c r="E179" s="147"/>
    </row>
    <row r="180" spans="5:5" ht="16.5" customHeight="1">
      <c r="E180" s="147"/>
    </row>
    <row r="181" spans="5:5" ht="16.5" customHeight="1">
      <c r="E181" s="147"/>
    </row>
    <row r="182" spans="5:5" ht="16.5" customHeight="1">
      <c r="E182" s="147"/>
    </row>
    <row r="183" spans="5:5" ht="16.5" customHeight="1">
      <c r="E183" s="147"/>
    </row>
    <row r="184" spans="5:5" ht="16.5" customHeight="1">
      <c r="E184" s="147"/>
    </row>
    <row r="185" spans="5:5" ht="16.5" customHeight="1">
      <c r="E185" s="147"/>
    </row>
    <row r="186" spans="5:5" ht="16.5" customHeight="1">
      <c r="E186" s="147"/>
    </row>
    <row r="187" spans="5:5" ht="16.5" customHeight="1">
      <c r="E187" s="147"/>
    </row>
    <row r="188" spans="5:5" ht="16.5" customHeight="1">
      <c r="E188" s="147"/>
    </row>
    <row r="189" spans="5:5" ht="16.5" customHeight="1">
      <c r="E189" s="147"/>
    </row>
    <row r="190" spans="5:5" ht="16.5" customHeight="1">
      <c r="E190" s="147"/>
    </row>
    <row r="191" spans="5:5" ht="16.5" customHeight="1">
      <c r="E191" s="147"/>
    </row>
    <row r="192" spans="5:5" ht="16.5" customHeight="1">
      <c r="E192" s="147"/>
    </row>
    <row r="193" spans="5:5" ht="16.5" customHeight="1">
      <c r="E193" s="147"/>
    </row>
    <row r="194" spans="5:5" ht="16.5" customHeight="1">
      <c r="E194" s="147"/>
    </row>
    <row r="195" spans="5:5" ht="16.5" customHeight="1">
      <c r="E195" s="147"/>
    </row>
    <row r="196" spans="5:5" ht="16.5" customHeight="1">
      <c r="E196" s="147"/>
    </row>
    <row r="197" spans="5:5" ht="16.5" customHeight="1">
      <c r="E197" s="147"/>
    </row>
    <row r="198" spans="5:5" ht="16.5" customHeight="1">
      <c r="E198" s="147"/>
    </row>
    <row r="199" spans="5:5" ht="16.5" customHeight="1">
      <c r="E199" s="147"/>
    </row>
    <row r="200" spans="5:5" ht="16.5" customHeight="1">
      <c r="E200" s="147"/>
    </row>
    <row r="201" spans="5:5" ht="16.5" customHeight="1">
      <c r="E201" s="147"/>
    </row>
    <row r="202" spans="5:5" ht="16.5" customHeight="1">
      <c r="E202" s="147"/>
    </row>
    <row r="203" spans="5:5" ht="16.5" customHeight="1">
      <c r="E203" s="147"/>
    </row>
    <row r="204" spans="5:5" ht="16.5" customHeight="1">
      <c r="E204" s="147"/>
    </row>
    <row r="205" spans="5:5" ht="16.5" customHeight="1">
      <c r="E205" s="147"/>
    </row>
    <row r="206" spans="5:5" ht="16.5" customHeight="1">
      <c r="E206" s="147"/>
    </row>
    <row r="207" spans="5:5" ht="16.5" customHeight="1">
      <c r="E207" s="147"/>
    </row>
    <row r="208" spans="5:5" ht="16.5" customHeight="1">
      <c r="E208" s="147"/>
    </row>
    <row r="209" spans="5:5" ht="16.5" customHeight="1">
      <c r="E209" s="147"/>
    </row>
    <row r="210" spans="5:5" ht="16.5" customHeight="1">
      <c r="E210" s="147"/>
    </row>
    <row r="211" spans="5:5" ht="16.5" customHeight="1">
      <c r="E211" s="147"/>
    </row>
    <row r="212" spans="5:5" ht="16.5" customHeight="1">
      <c r="E212" s="147"/>
    </row>
    <row r="213" spans="5:5" ht="16.5" customHeight="1">
      <c r="E213" s="147"/>
    </row>
    <row r="214" spans="5:5" ht="16.5" customHeight="1">
      <c r="E214" s="147"/>
    </row>
    <row r="215" spans="5:5" ht="16.5" customHeight="1">
      <c r="E215" s="147"/>
    </row>
    <row r="216" spans="5:5" ht="16.5" customHeight="1">
      <c r="E216" s="147"/>
    </row>
    <row r="217" spans="5:5" ht="16.5" customHeight="1">
      <c r="E217" s="147"/>
    </row>
    <row r="218" spans="5:5" ht="16.5" customHeight="1">
      <c r="E218" s="147"/>
    </row>
    <row r="219" spans="5:5" ht="16.5" customHeight="1">
      <c r="E219" s="147"/>
    </row>
    <row r="220" spans="5:5" ht="16.5" customHeight="1">
      <c r="E220" s="147"/>
    </row>
    <row r="221" spans="5:5" ht="16.5" customHeight="1">
      <c r="E221" s="147"/>
    </row>
    <row r="222" spans="5:5" ht="16.5" customHeight="1">
      <c r="E222" s="147"/>
    </row>
    <row r="223" spans="5:5" ht="16.5" customHeight="1">
      <c r="E223" s="147"/>
    </row>
    <row r="224" spans="5:5" ht="16.5" customHeight="1">
      <c r="E224" s="147"/>
    </row>
    <row r="225" spans="5:5" ht="16.5" customHeight="1">
      <c r="E225" s="147"/>
    </row>
    <row r="226" spans="5:5" ht="16.5" customHeight="1">
      <c r="E226" s="147"/>
    </row>
    <row r="227" spans="5:5" ht="16.5" customHeight="1">
      <c r="E227" s="147"/>
    </row>
    <row r="228" spans="5:5" ht="16.5" customHeight="1">
      <c r="E228" s="147"/>
    </row>
    <row r="229" spans="5:5" ht="16.5" customHeight="1">
      <c r="E229" s="147"/>
    </row>
    <row r="230" spans="5:5" ht="16.5" customHeight="1">
      <c r="E230" s="147"/>
    </row>
    <row r="231" spans="5:5" ht="16.5" customHeight="1">
      <c r="E231" s="147"/>
    </row>
    <row r="232" spans="5:5" ht="16.5" customHeight="1">
      <c r="E232" s="147"/>
    </row>
    <row r="233" spans="5:5" ht="16.5" customHeight="1">
      <c r="E233" s="147"/>
    </row>
    <row r="234" spans="5:5" ht="16.5" customHeight="1">
      <c r="E234" s="147"/>
    </row>
    <row r="235" spans="5:5" ht="16.5" customHeight="1">
      <c r="E235" s="147"/>
    </row>
    <row r="236" spans="5:5" ht="16.5" customHeight="1">
      <c r="E236" s="147"/>
    </row>
    <row r="237" spans="5:5" ht="16.5" customHeight="1">
      <c r="E237" s="147"/>
    </row>
    <row r="238" spans="5:5" ht="16.5" customHeight="1">
      <c r="E238" s="147"/>
    </row>
    <row r="239" spans="5:5" ht="16.5" customHeight="1">
      <c r="E239" s="147"/>
    </row>
    <row r="240" spans="5:5" ht="16.5" customHeight="1">
      <c r="E240" s="147"/>
    </row>
    <row r="241" spans="5:5" ht="16.5" customHeight="1">
      <c r="E241" s="147"/>
    </row>
    <row r="242" spans="5:5" ht="16.5" customHeight="1">
      <c r="E242" s="147"/>
    </row>
    <row r="243" spans="5:5" ht="16.5" customHeight="1">
      <c r="E243" s="147"/>
    </row>
    <row r="244" spans="5:5" ht="16.5" customHeight="1">
      <c r="E244" s="147"/>
    </row>
    <row r="245" spans="5:5" ht="16.5" customHeight="1">
      <c r="E245" s="147"/>
    </row>
    <row r="246" spans="5:5" ht="16.5" customHeight="1">
      <c r="E246" s="147"/>
    </row>
    <row r="247" spans="5:5" ht="16.5" customHeight="1">
      <c r="E247" s="147"/>
    </row>
    <row r="248" spans="5:5" ht="16.5" customHeight="1">
      <c r="E248" s="147"/>
    </row>
    <row r="249" spans="5:5" ht="16.5" customHeight="1">
      <c r="E249" s="147"/>
    </row>
    <row r="250" spans="5:5" ht="16.5" customHeight="1">
      <c r="E250" s="147"/>
    </row>
    <row r="251" spans="5:5" ht="16.5" customHeight="1">
      <c r="E251" s="147"/>
    </row>
    <row r="252" spans="5:5" ht="16.5" customHeight="1">
      <c r="E252" s="147"/>
    </row>
    <row r="253" spans="5:5" ht="16.5" customHeight="1">
      <c r="E253" s="147"/>
    </row>
    <row r="254" spans="5:5" ht="16.5" customHeight="1">
      <c r="E254" s="147"/>
    </row>
    <row r="255" spans="5:5" ht="16.5" customHeight="1">
      <c r="E255" s="147"/>
    </row>
    <row r="256" spans="5:5" ht="16.5" customHeight="1">
      <c r="E256" s="147"/>
    </row>
    <row r="257" spans="5:5" ht="16.5" customHeight="1">
      <c r="E257" s="147"/>
    </row>
    <row r="258" spans="5:5" ht="16.5" customHeight="1">
      <c r="E258" s="147"/>
    </row>
    <row r="259" spans="5:5" ht="16.5" customHeight="1">
      <c r="E259" s="147"/>
    </row>
    <row r="260" spans="5:5" ht="16.5" customHeight="1">
      <c r="E260" s="147"/>
    </row>
    <row r="261" spans="5:5" ht="16.5" customHeight="1">
      <c r="E261" s="147"/>
    </row>
    <row r="262" spans="5:5" ht="16.5" customHeight="1">
      <c r="E262" s="147"/>
    </row>
    <row r="263" spans="5:5" ht="16.5" customHeight="1">
      <c r="E263" s="147"/>
    </row>
    <row r="264" spans="5:5" ht="16.5" customHeight="1">
      <c r="E264" s="147"/>
    </row>
    <row r="265" spans="5:5" ht="16.5" customHeight="1">
      <c r="E265" s="147"/>
    </row>
    <row r="266" spans="5:5" ht="16.5" customHeight="1">
      <c r="E266" s="147"/>
    </row>
    <row r="267" spans="5:5" ht="16.5" customHeight="1">
      <c r="E267" s="147"/>
    </row>
    <row r="268" spans="5:5" ht="16.5" customHeight="1">
      <c r="E268" s="147"/>
    </row>
    <row r="269" spans="5:5" ht="16.5" customHeight="1">
      <c r="E269" s="147"/>
    </row>
    <row r="270" spans="5:5" ht="16.5" customHeight="1">
      <c r="E270" s="147"/>
    </row>
    <row r="271" spans="5:5" ht="16.5" customHeight="1">
      <c r="E271" s="147"/>
    </row>
    <row r="272" spans="5:5" ht="16.5" customHeight="1">
      <c r="E272" s="147"/>
    </row>
    <row r="273" spans="5:5" ht="16.5" customHeight="1">
      <c r="E273" s="147"/>
    </row>
    <row r="274" spans="5:5" ht="16.5" customHeight="1">
      <c r="E274" s="147"/>
    </row>
    <row r="275" spans="5:5" ht="16.5" customHeight="1">
      <c r="E275" s="147"/>
    </row>
    <row r="276" spans="5:5" ht="16.5" customHeight="1">
      <c r="E276" s="147"/>
    </row>
    <row r="277" spans="5:5" ht="16.5" customHeight="1">
      <c r="E277" s="147"/>
    </row>
    <row r="278" spans="5:5" ht="16.5" customHeight="1">
      <c r="E278" s="147"/>
    </row>
    <row r="279" spans="5:5" ht="16.5" customHeight="1">
      <c r="E279" s="147"/>
    </row>
    <row r="280" spans="5:5" ht="16.5" customHeight="1">
      <c r="E280" s="147"/>
    </row>
    <row r="281" spans="5:5" ht="16.5" customHeight="1">
      <c r="E281" s="147"/>
    </row>
    <row r="282" spans="5:5" ht="16.5" customHeight="1">
      <c r="E282" s="147"/>
    </row>
    <row r="283" spans="5:5" ht="16.5" customHeight="1">
      <c r="E283" s="147"/>
    </row>
    <row r="284" spans="5:5" ht="16.5" customHeight="1">
      <c r="E284" s="147"/>
    </row>
    <row r="285" spans="5:5" ht="16.5" customHeight="1">
      <c r="E285" s="147"/>
    </row>
    <row r="286" spans="5:5" ht="16.5" customHeight="1">
      <c r="E286" s="147"/>
    </row>
    <row r="287" spans="5:5" ht="16.5" customHeight="1">
      <c r="E287" s="147"/>
    </row>
    <row r="288" spans="5:5" ht="16.5" customHeight="1">
      <c r="E288" s="147"/>
    </row>
    <row r="289" spans="5:5" ht="16.5" customHeight="1">
      <c r="E289" s="147"/>
    </row>
    <row r="290" spans="5:5" ht="16.5" customHeight="1">
      <c r="E290" s="147"/>
    </row>
    <row r="291" spans="5:5" ht="16.5" customHeight="1">
      <c r="E291" s="147"/>
    </row>
    <row r="292" spans="5:5" ht="16.5" customHeight="1">
      <c r="E292" s="147"/>
    </row>
    <row r="293" spans="5:5" ht="16.5" customHeight="1">
      <c r="E293" s="147"/>
    </row>
    <row r="294" spans="5:5" ht="16.5" customHeight="1">
      <c r="E294" s="147"/>
    </row>
    <row r="295" spans="5:5" ht="16.5" customHeight="1">
      <c r="E295" s="147"/>
    </row>
    <row r="296" spans="5:5" ht="16.5" customHeight="1">
      <c r="E296" s="147"/>
    </row>
    <row r="297" spans="5:5" ht="16.5" customHeight="1">
      <c r="E297" s="147"/>
    </row>
    <row r="298" spans="5:5" ht="16.5" customHeight="1">
      <c r="E298" s="147"/>
    </row>
    <row r="299" spans="5:5" ht="16.5" customHeight="1">
      <c r="E299" s="147"/>
    </row>
    <row r="300" spans="5:5" ht="16.5" customHeight="1">
      <c r="E300" s="147"/>
    </row>
    <row r="301" spans="5:5" ht="16.5" customHeight="1">
      <c r="E301" s="147"/>
    </row>
    <row r="302" spans="5:5" ht="16.5" customHeight="1">
      <c r="E302" s="147"/>
    </row>
    <row r="303" spans="5:5" ht="16.5" customHeight="1">
      <c r="E303" s="147"/>
    </row>
    <row r="304" spans="5:5" ht="16.5" customHeight="1">
      <c r="E304" s="147"/>
    </row>
    <row r="305" spans="5:5" ht="16.5" customHeight="1">
      <c r="E305" s="147"/>
    </row>
    <row r="306" spans="5:5" ht="16.5" customHeight="1">
      <c r="E306" s="147"/>
    </row>
    <row r="307" spans="5:5" ht="16.5" customHeight="1">
      <c r="E307" s="147"/>
    </row>
    <row r="308" spans="5:5" ht="16.5" customHeight="1">
      <c r="E308" s="147"/>
    </row>
    <row r="309" spans="5:5" ht="16.5" customHeight="1">
      <c r="E309" s="147"/>
    </row>
    <row r="310" spans="5:5" ht="16.5" customHeight="1">
      <c r="E310" s="147"/>
    </row>
    <row r="311" spans="5:5" ht="16.5" customHeight="1">
      <c r="E311" s="147"/>
    </row>
    <row r="312" spans="5:5" ht="16.5" customHeight="1">
      <c r="E312" s="147"/>
    </row>
    <row r="313" spans="5:5" ht="16.5" customHeight="1">
      <c r="E313" s="147"/>
    </row>
    <row r="314" spans="5:5" ht="16.5" customHeight="1">
      <c r="E314" s="147"/>
    </row>
    <row r="315" spans="5:5" ht="16.5" customHeight="1">
      <c r="E315" s="147"/>
    </row>
    <row r="316" spans="5:5" ht="16.5" customHeight="1">
      <c r="E316" s="147"/>
    </row>
    <row r="317" spans="5:5" ht="16.5" customHeight="1">
      <c r="E317" s="147"/>
    </row>
    <row r="318" spans="5:5" ht="16.5" customHeight="1">
      <c r="E318" s="147"/>
    </row>
    <row r="319" spans="5:5" ht="16.5" customHeight="1">
      <c r="E319" s="147"/>
    </row>
    <row r="320" spans="5:5" ht="16.5" customHeight="1">
      <c r="E320" s="147"/>
    </row>
    <row r="321" spans="5:5" ht="16.5" customHeight="1">
      <c r="E321" s="147"/>
    </row>
    <row r="322" spans="5:5" ht="16.5" customHeight="1">
      <c r="E322" s="147"/>
    </row>
    <row r="323" spans="5:5" ht="16.5" customHeight="1">
      <c r="E323" s="147"/>
    </row>
    <row r="324" spans="5:5" ht="16.5" customHeight="1">
      <c r="E324" s="147"/>
    </row>
    <row r="325" spans="5:5" ht="16.5" customHeight="1">
      <c r="E325" s="147"/>
    </row>
    <row r="326" spans="5:5" ht="16.5" customHeight="1">
      <c r="E326" s="147"/>
    </row>
    <row r="327" spans="5:5" ht="16.5" customHeight="1">
      <c r="E327" s="147"/>
    </row>
    <row r="328" spans="5:5" ht="16.5" customHeight="1">
      <c r="E328" s="147"/>
    </row>
    <row r="329" spans="5:5" ht="16.5" customHeight="1">
      <c r="E329" s="147"/>
    </row>
    <row r="330" spans="5:5" ht="16.5" customHeight="1">
      <c r="E330" s="147"/>
    </row>
    <row r="331" spans="5:5" ht="16.5" customHeight="1">
      <c r="E331" s="147"/>
    </row>
    <row r="332" spans="5:5" ht="16.5" customHeight="1">
      <c r="E332" s="147"/>
    </row>
    <row r="333" spans="5:5" ht="16.5" customHeight="1">
      <c r="E333" s="147"/>
    </row>
    <row r="334" spans="5:5" ht="16.5" customHeight="1">
      <c r="E334" s="147"/>
    </row>
    <row r="335" spans="5:5" ht="16.5" customHeight="1">
      <c r="E335" s="147"/>
    </row>
    <row r="336" spans="5:5" ht="16.5" customHeight="1">
      <c r="E336" s="147"/>
    </row>
    <row r="337" spans="5:5" ht="16.5" customHeight="1">
      <c r="E337" s="147"/>
    </row>
    <row r="338" spans="5:5" ht="16.5" customHeight="1">
      <c r="E338" s="147"/>
    </row>
    <row r="339" spans="5:5" ht="16.5" customHeight="1">
      <c r="E339" s="147"/>
    </row>
    <row r="340" spans="5:5" ht="16.5" customHeight="1">
      <c r="E340" s="147"/>
    </row>
    <row r="341" spans="5:5" ht="16.5" customHeight="1">
      <c r="E341" s="147"/>
    </row>
    <row r="342" spans="5:5" ht="16.5" customHeight="1">
      <c r="E342" s="147"/>
    </row>
    <row r="343" spans="5:5" ht="16.5" customHeight="1">
      <c r="E343" s="147"/>
    </row>
    <row r="344" spans="5:5" ht="16.5" customHeight="1">
      <c r="E344" s="147"/>
    </row>
    <row r="345" spans="5:5" ht="16.5" customHeight="1">
      <c r="E345" s="147"/>
    </row>
    <row r="346" spans="5:5" ht="16.5" customHeight="1">
      <c r="E346" s="147"/>
    </row>
    <row r="347" spans="5:5" ht="16.5" customHeight="1">
      <c r="E347" s="147"/>
    </row>
    <row r="348" spans="5:5" ht="16.5" customHeight="1">
      <c r="E348" s="147"/>
    </row>
    <row r="349" spans="5:5" ht="16.5" customHeight="1">
      <c r="E349" s="147"/>
    </row>
    <row r="350" spans="5:5" ht="16.5" customHeight="1">
      <c r="E350" s="147"/>
    </row>
    <row r="351" spans="5:5" ht="16.5" customHeight="1">
      <c r="E351" s="147"/>
    </row>
    <row r="352" spans="5:5" ht="16.5" customHeight="1">
      <c r="E352" s="147"/>
    </row>
    <row r="353" spans="5:5" ht="16.5" customHeight="1">
      <c r="E353" s="147"/>
    </row>
    <row r="354" spans="5:5" ht="16.5" customHeight="1">
      <c r="E354" s="147"/>
    </row>
    <row r="355" spans="5:5" ht="16.5" customHeight="1">
      <c r="E355" s="147"/>
    </row>
    <row r="356" spans="5:5" ht="16.5" customHeight="1">
      <c r="E356" s="147"/>
    </row>
    <row r="357" spans="5:5" ht="16.5" customHeight="1">
      <c r="E357" s="147"/>
    </row>
    <row r="358" spans="5:5" ht="16.5" customHeight="1">
      <c r="E358" s="147"/>
    </row>
    <row r="359" spans="5:5" ht="16.5" customHeight="1">
      <c r="E359" s="147"/>
    </row>
    <row r="360" spans="5:5" ht="16.5" customHeight="1">
      <c r="E360" s="147"/>
    </row>
    <row r="361" spans="5:5" ht="16.5" customHeight="1">
      <c r="E361" s="147"/>
    </row>
    <row r="362" spans="5:5" ht="16.5" customHeight="1">
      <c r="E362" s="147"/>
    </row>
    <row r="363" spans="5:5" ht="16.5" customHeight="1">
      <c r="E363" s="147"/>
    </row>
    <row r="364" spans="5:5" ht="16.5" customHeight="1">
      <c r="E364" s="147"/>
    </row>
    <row r="365" spans="5:5" ht="16.5" customHeight="1">
      <c r="E365" s="147"/>
    </row>
    <row r="366" spans="5:5" ht="16.5" customHeight="1">
      <c r="E366" s="147"/>
    </row>
    <row r="367" spans="5:5" ht="16.5" customHeight="1">
      <c r="E367" s="147"/>
    </row>
    <row r="368" spans="5:5" ht="16.5" customHeight="1">
      <c r="E368" s="147"/>
    </row>
    <row r="369" spans="5:5" ht="16.5" customHeight="1">
      <c r="E369" s="147"/>
    </row>
    <row r="370" spans="5:5" ht="16.5" customHeight="1">
      <c r="E370" s="147"/>
    </row>
    <row r="371" spans="5:5" ht="16.5" customHeight="1">
      <c r="E371" s="147"/>
    </row>
    <row r="372" spans="5:5" ht="16.5" customHeight="1">
      <c r="E372" s="147"/>
    </row>
    <row r="373" spans="5:5" ht="16.5" customHeight="1">
      <c r="E373" s="147"/>
    </row>
    <row r="374" spans="5:5" ht="16.5" customHeight="1">
      <c r="E374" s="147"/>
    </row>
    <row r="375" spans="5:5" ht="16.5" customHeight="1">
      <c r="E375" s="147"/>
    </row>
    <row r="376" spans="5:5" ht="16.5" customHeight="1">
      <c r="E376" s="147"/>
    </row>
    <row r="377" spans="5:5" ht="16.5" customHeight="1">
      <c r="E377" s="147"/>
    </row>
    <row r="378" spans="5:5" ht="16.5" customHeight="1">
      <c r="E378" s="147"/>
    </row>
    <row r="379" spans="5:5" ht="16.5" customHeight="1">
      <c r="E379" s="147"/>
    </row>
    <row r="380" spans="5:5" ht="16.5" customHeight="1">
      <c r="E380" s="147"/>
    </row>
    <row r="381" spans="5:5" ht="16.5" customHeight="1">
      <c r="E381" s="147"/>
    </row>
    <row r="382" spans="5:5" ht="16.5" customHeight="1">
      <c r="E382" s="147"/>
    </row>
    <row r="383" spans="5:5" ht="16.5" customHeight="1">
      <c r="E383" s="147"/>
    </row>
    <row r="384" spans="5:5" ht="16.5" customHeight="1">
      <c r="E384" s="147"/>
    </row>
    <row r="385" spans="5:5" ht="16.5" customHeight="1">
      <c r="E385" s="147"/>
    </row>
    <row r="386" spans="5:5" ht="16.5" customHeight="1">
      <c r="E386" s="147"/>
    </row>
    <row r="387" spans="5:5" ht="16.5" customHeight="1">
      <c r="E387" s="147"/>
    </row>
    <row r="388" spans="5:5" ht="16.5" customHeight="1">
      <c r="E388" s="147"/>
    </row>
    <row r="389" spans="5:5" ht="16.5" customHeight="1">
      <c r="E389" s="147"/>
    </row>
    <row r="390" spans="5:5" ht="16.5" customHeight="1">
      <c r="E390" s="147"/>
    </row>
    <row r="391" spans="5:5" ht="16.5" customHeight="1">
      <c r="E391" s="147"/>
    </row>
    <row r="392" spans="5:5" ht="16.5" customHeight="1">
      <c r="E392" s="147"/>
    </row>
    <row r="393" spans="5:5" ht="16.5" customHeight="1">
      <c r="E393" s="147"/>
    </row>
    <row r="394" spans="5:5" ht="16.5" customHeight="1">
      <c r="E394" s="147"/>
    </row>
    <row r="395" spans="5:5" ht="16.5" customHeight="1">
      <c r="E395" s="147"/>
    </row>
    <row r="396" spans="5:5" ht="16.5" customHeight="1">
      <c r="E396" s="147"/>
    </row>
    <row r="397" spans="5:5" ht="16.5" customHeight="1">
      <c r="E397" s="147"/>
    </row>
    <row r="398" spans="5:5" ht="16.5" customHeight="1">
      <c r="E398" s="147"/>
    </row>
    <row r="399" spans="5:5" ht="16.5" customHeight="1">
      <c r="E399" s="147"/>
    </row>
    <row r="400" spans="5:5" ht="16.5" customHeight="1">
      <c r="E400" s="147"/>
    </row>
    <row r="401" spans="5:5" ht="16.5" customHeight="1">
      <c r="E401" s="147"/>
    </row>
    <row r="402" spans="5:5" ht="16.5" customHeight="1">
      <c r="E402" s="147"/>
    </row>
    <row r="403" spans="5:5" ht="16.5" customHeight="1">
      <c r="E403" s="147"/>
    </row>
    <row r="404" spans="5:5" ht="16.5" customHeight="1">
      <c r="E404" s="147"/>
    </row>
    <row r="405" spans="5:5" ht="16.5" customHeight="1">
      <c r="E405" s="147"/>
    </row>
    <row r="406" spans="5:5" ht="16.5" customHeight="1">
      <c r="E406" s="147"/>
    </row>
    <row r="407" spans="5:5" ht="16.5" customHeight="1">
      <c r="E407" s="147"/>
    </row>
    <row r="408" spans="5:5" ht="16.5" customHeight="1">
      <c r="E408" s="147"/>
    </row>
    <row r="409" spans="5:5" ht="16.5" customHeight="1">
      <c r="E409" s="147"/>
    </row>
    <row r="410" spans="5:5" ht="16.5" customHeight="1">
      <c r="E410" s="147"/>
    </row>
    <row r="411" spans="5:5" ht="16.5" customHeight="1">
      <c r="E411" s="147"/>
    </row>
    <row r="412" spans="5:5" ht="16.5" customHeight="1">
      <c r="E412" s="147"/>
    </row>
    <row r="413" spans="5:5" ht="16.5" customHeight="1">
      <c r="E413" s="147"/>
    </row>
    <row r="414" spans="5:5" ht="16.5" customHeight="1">
      <c r="E414" s="147"/>
    </row>
    <row r="415" spans="5:5" ht="16.5" customHeight="1">
      <c r="E415" s="147"/>
    </row>
    <row r="416" spans="5:5" ht="16.5" customHeight="1">
      <c r="E416" s="147"/>
    </row>
    <row r="417" spans="5:5" ht="16.5" customHeight="1">
      <c r="E417" s="147"/>
    </row>
    <row r="418" spans="5:5" ht="16.5" customHeight="1">
      <c r="E418" s="147"/>
    </row>
    <row r="419" spans="5:5" ht="16.5" customHeight="1">
      <c r="E419" s="147"/>
    </row>
    <row r="420" spans="5:5" ht="16.5" customHeight="1">
      <c r="E420" s="147"/>
    </row>
    <row r="421" spans="5:5" ht="16.5" customHeight="1">
      <c r="E421" s="147"/>
    </row>
    <row r="422" spans="5:5" ht="16.5" customHeight="1">
      <c r="E422" s="147"/>
    </row>
    <row r="423" spans="5:5" ht="16.5" customHeight="1">
      <c r="E423" s="147"/>
    </row>
    <row r="424" spans="5:5" ht="16.5" customHeight="1">
      <c r="E424" s="147"/>
    </row>
    <row r="425" spans="5:5" ht="16.5" customHeight="1">
      <c r="E425" s="147"/>
    </row>
    <row r="426" spans="5:5" ht="16.5" customHeight="1">
      <c r="E426" s="147"/>
    </row>
    <row r="427" spans="5:5" ht="16.5" customHeight="1">
      <c r="E427" s="147"/>
    </row>
    <row r="428" spans="5:5" ht="16.5" customHeight="1">
      <c r="E428" s="147"/>
    </row>
    <row r="429" spans="5:5" ht="16.5" customHeight="1">
      <c r="E429" s="147"/>
    </row>
    <row r="430" spans="5:5" ht="16.5" customHeight="1">
      <c r="E430" s="147"/>
    </row>
    <row r="431" spans="5:5" ht="16.5" customHeight="1">
      <c r="E431" s="147"/>
    </row>
    <row r="432" spans="5:5" ht="16.5" customHeight="1">
      <c r="E432" s="147"/>
    </row>
    <row r="433" spans="5:5" ht="16.5" customHeight="1">
      <c r="E433" s="147"/>
    </row>
    <row r="434" spans="5:5" ht="16.5" customHeight="1">
      <c r="E434" s="147"/>
    </row>
    <row r="435" spans="5:5" ht="16.5" customHeight="1">
      <c r="E435" s="147"/>
    </row>
    <row r="436" spans="5:5" ht="16.5" customHeight="1">
      <c r="E436" s="147"/>
    </row>
    <row r="437" spans="5:5" ht="16.5" customHeight="1">
      <c r="E437" s="147"/>
    </row>
    <row r="438" spans="5:5" ht="16.5" customHeight="1">
      <c r="E438" s="147"/>
    </row>
    <row r="439" spans="5:5" ht="16.5" customHeight="1">
      <c r="E439" s="147"/>
    </row>
    <row r="440" spans="5:5" ht="16.5" customHeight="1">
      <c r="E440" s="147"/>
    </row>
    <row r="441" spans="5:5" ht="16.5" customHeight="1">
      <c r="E441" s="147"/>
    </row>
    <row r="442" spans="5:5" ht="16.5" customHeight="1">
      <c r="E442" s="147"/>
    </row>
    <row r="443" spans="5:5" ht="16.5" customHeight="1">
      <c r="E443" s="147"/>
    </row>
    <row r="444" spans="5:5" ht="16.5" customHeight="1">
      <c r="E444" s="147"/>
    </row>
    <row r="445" spans="5:5" ht="16.5" customHeight="1">
      <c r="E445" s="147"/>
    </row>
    <row r="446" spans="5:5" ht="16.5" customHeight="1">
      <c r="E446" s="147"/>
    </row>
    <row r="447" spans="5:5" ht="16.5" customHeight="1">
      <c r="E447" s="147"/>
    </row>
    <row r="448" spans="5:5" ht="16.5" customHeight="1">
      <c r="E448" s="147"/>
    </row>
    <row r="449" spans="5:5" ht="16.5" customHeight="1">
      <c r="E449" s="147"/>
    </row>
    <row r="450" spans="5:5" ht="16.5" customHeight="1">
      <c r="E450" s="147"/>
    </row>
    <row r="451" spans="5:5" ht="16.5" customHeight="1">
      <c r="E451" s="147"/>
    </row>
    <row r="452" spans="5:5" ht="16.5" customHeight="1">
      <c r="E452" s="147"/>
    </row>
    <row r="453" spans="5:5" ht="16.5" customHeight="1">
      <c r="E453" s="147"/>
    </row>
    <row r="454" spans="5:5" ht="16.5" customHeight="1">
      <c r="E454" s="147"/>
    </row>
    <row r="455" spans="5:5" ht="16.5" customHeight="1">
      <c r="E455" s="147"/>
    </row>
    <row r="456" spans="5:5" ht="16.5" customHeight="1">
      <c r="E456" s="147"/>
    </row>
    <row r="457" spans="5:5" ht="16.5" customHeight="1">
      <c r="E457" s="147"/>
    </row>
    <row r="458" spans="5:5" ht="16.5" customHeight="1">
      <c r="E458" s="147"/>
    </row>
    <row r="459" spans="5:5" ht="16.5" customHeight="1">
      <c r="E459" s="147"/>
    </row>
    <row r="460" spans="5:5" ht="16.5" customHeight="1">
      <c r="E460" s="147"/>
    </row>
    <row r="461" spans="5:5" ht="16.5" customHeight="1">
      <c r="E461" s="147"/>
    </row>
    <row r="462" spans="5:5" ht="16.5" customHeight="1">
      <c r="E462" s="147"/>
    </row>
    <row r="463" spans="5:5" ht="16.5" customHeight="1">
      <c r="E463" s="147"/>
    </row>
    <row r="464" spans="5:5" ht="16.5" customHeight="1">
      <c r="E464" s="147"/>
    </row>
    <row r="465" spans="5:5" ht="16.5" customHeight="1">
      <c r="E465" s="147"/>
    </row>
    <row r="466" spans="5:5" ht="16.5" customHeight="1">
      <c r="E466" s="147"/>
    </row>
    <row r="467" spans="5:5" ht="16.5" customHeight="1">
      <c r="E467" s="147"/>
    </row>
    <row r="468" spans="5:5" ht="16.5" customHeight="1">
      <c r="E468" s="147"/>
    </row>
    <row r="469" spans="5:5" ht="16.5" customHeight="1">
      <c r="E469" s="147"/>
    </row>
    <row r="470" spans="5:5" ht="16.5" customHeight="1">
      <c r="E470" s="147"/>
    </row>
    <row r="471" spans="5:5" ht="16.5" customHeight="1">
      <c r="E471" s="147"/>
    </row>
    <row r="472" spans="5:5" ht="16.5" customHeight="1">
      <c r="E472" s="147"/>
    </row>
    <row r="473" spans="5:5" ht="16.5" customHeight="1">
      <c r="E473" s="147"/>
    </row>
    <row r="474" spans="5:5" ht="16.5" customHeight="1">
      <c r="E474" s="147"/>
    </row>
    <row r="475" spans="5:5" ht="16.5" customHeight="1">
      <c r="E475" s="147"/>
    </row>
    <row r="476" spans="5:5" ht="16.5" customHeight="1">
      <c r="E476" s="147"/>
    </row>
    <row r="477" spans="5:5" ht="16.5" customHeight="1">
      <c r="E477" s="147"/>
    </row>
    <row r="478" spans="5:5" ht="16.5" customHeight="1">
      <c r="E478" s="147"/>
    </row>
    <row r="479" spans="5:5" ht="16.5" customHeight="1">
      <c r="E479" s="147"/>
    </row>
    <row r="480" spans="5:5" ht="16.5" customHeight="1">
      <c r="E480" s="147"/>
    </row>
    <row r="481" spans="5:5" ht="16.5" customHeight="1">
      <c r="E481" s="147"/>
    </row>
    <row r="482" spans="5:5" ht="16.5" customHeight="1">
      <c r="E482" s="147"/>
    </row>
    <row r="483" spans="5:5" ht="16.5" customHeight="1">
      <c r="E483" s="147"/>
    </row>
    <row r="484" spans="5:5" ht="16.5" customHeight="1">
      <c r="E484" s="147"/>
    </row>
    <row r="485" spans="5:5" ht="16.5" customHeight="1">
      <c r="E485" s="147"/>
    </row>
    <row r="486" spans="5:5" ht="16.5" customHeight="1">
      <c r="E486" s="147"/>
    </row>
    <row r="487" spans="5:5" ht="16.5" customHeight="1">
      <c r="E487" s="147"/>
    </row>
    <row r="488" spans="5:5" ht="16.5" customHeight="1">
      <c r="E488" s="147"/>
    </row>
    <row r="489" spans="5:5" ht="16.5" customHeight="1">
      <c r="E489" s="147"/>
    </row>
    <row r="490" spans="5:5" ht="16.5" customHeight="1">
      <c r="E490" s="147"/>
    </row>
    <row r="491" spans="5:5" ht="16.5" customHeight="1">
      <c r="E491" s="147"/>
    </row>
    <row r="492" spans="5:5" ht="16.5" customHeight="1">
      <c r="E492" s="147"/>
    </row>
    <row r="493" spans="5:5" ht="16.5" customHeight="1">
      <c r="E493" s="147"/>
    </row>
    <row r="494" spans="5:5" ht="16.5" customHeight="1">
      <c r="E494" s="147"/>
    </row>
    <row r="495" spans="5:5" ht="16.5" customHeight="1">
      <c r="E495" s="147"/>
    </row>
    <row r="496" spans="5:5" ht="16.5" customHeight="1">
      <c r="E496" s="147"/>
    </row>
    <row r="497" spans="5:5" ht="16.5" customHeight="1">
      <c r="E497" s="147"/>
    </row>
    <row r="498" spans="5:5" ht="16.5" customHeight="1">
      <c r="E498" s="147"/>
    </row>
    <row r="499" spans="5:5" ht="16.5" customHeight="1">
      <c r="E499" s="147"/>
    </row>
    <row r="500" spans="5:5" ht="16.5" customHeight="1">
      <c r="E500" s="147"/>
    </row>
    <row r="501" spans="5:5" ht="16.5" customHeight="1">
      <c r="E501" s="147"/>
    </row>
    <row r="502" spans="5:5" ht="16.5" customHeight="1">
      <c r="E502" s="147"/>
    </row>
    <row r="503" spans="5:5" ht="16.5" customHeight="1">
      <c r="E503" s="147"/>
    </row>
    <row r="504" spans="5:5" ht="16.5" customHeight="1">
      <c r="E504" s="147"/>
    </row>
    <row r="505" spans="5:5" ht="16.5" customHeight="1">
      <c r="E505" s="147"/>
    </row>
    <row r="506" spans="5:5" ht="16.5" customHeight="1">
      <c r="E506" s="147"/>
    </row>
    <row r="507" spans="5:5" ht="16.5" customHeight="1">
      <c r="E507" s="147"/>
    </row>
    <row r="508" spans="5:5" ht="16.5" customHeight="1">
      <c r="E508" s="147"/>
    </row>
    <row r="509" spans="5:5" ht="16.5" customHeight="1">
      <c r="E509" s="147"/>
    </row>
    <row r="510" spans="5:5" ht="16.5" customHeight="1">
      <c r="E510" s="147"/>
    </row>
    <row r="511" spans="5:5" ht="16.5" customHeight="1">
      <c r="E511" s="147"/>
    </row>
    <row r="512" spans="5:5" ht="16.5" customHeight="1">
      <c r="E512" s="147"/>
    </row>
    <row r="513" spans="5:5" ht="16.5" customHeight="1">
      <c r="E513" s="147"/>
    </row>
    <row r="514" spans="5:5" ht="16.5" customHeight="1">
      <c r="E514" s="147"/>
    </row>
    <row r="515" spans="5:5" ht="16.5" customHeight="1">
      <c r="E515" s="147"/>
    </row>
    <row r="516" spans="5:5" ht="16.5" customHeight="1">
      <c r="E516" s="147"/>
    </row>
    <row r="517" spans="5:5" ht="16.5" customHeight="1">
      <c r="E517" s="147"/>
    </row>
    <row r="518" spans="5:5" ht="16.5" customHeight="1">
      <c r="E518" s="147"/>
    </row>
    <row r="519" spans="5:5" ht="16.5" customHeight="1">
      <c r="E519" s="147"/>
    </row>
    <row r="520" spans="5:5" ht="16.5" customHeight="1">
      <c r="E520" s="147"/>
    </row>
    <row r="521" spans="5:5" ht="16.5" customHeight="1">
      <c r="E521" s="147"/>
    </row>
    <row r="522" spans="5:5" ht="16.5" customHeight="1">
      <c r="E522" s="147"/>
    </row>
    <row r="523" spans="5:5" ht="16.5" customHeight="1">
      <c r="E523" s="147"/>
    </row>
    <row r="524" spans="5:5" ht="16.5" customHeight="1">
      <c r="E524" s="147"/>
    </row>
    <row r="525" spans="5:5" ht="16.5" customHeight="1">
      <c r="E525" s="147"/>
    </row>
    <row r="526" spans="5:5" ht="16.5" customHeight="1">
      <c r="E526" s="147"/>
    </row>
    <row r="527" spans="5:5" ht="16.5" customHeight="1">
      <c r="E527" s="147"/>
    </row>
    <row r="528" spans="5:5" ht="16.5" customHeight="1">
      <c r="E528" s="147"/>
    </row>
    <row r="529" spans="5:5" ht="16.5" customHeight="1">
      <c r="E529" s="147"/>
    </row>
    <row r="530" spans="5:5" ht="16.5" customHeight="1">
      <c r="E530" s="147"/>
    </row>
    <row r="531" spans="5:5" ht="16.5" customHeight="1">
      <c r="E531" s="147"/>
    </row>
    <row r="532" spans="5:5" ht="16.5" customHeight="1">
      <c r="E532" s="147"/>
    </row>
    <row r="533" spans="5:5" ht="16.5" customHeight="1">
      <c r="E533" s="147"/>
    </row>
    <row r="534" spans="5:5" ht="16.5" customHeight="1">
      <c r="E534" s="147"/>
    </row>
    <row r="535" spans="5:5" ht="16.5" customHeight="1">
      <c r="E535" s="147"/>
    </row>
    <row r="536" spans="5:5" ht="16.5" customHeight="1">
      <c r="E536" s="147"/>
    </row>
    <row r="537" spans="5:5" ht="16.5" customHeight="1">
      <c r="E537" s="147"/>
    </row>
    <row r="538" spans="5:5" ht="16.5" customHeight="1">
      <c r="E538" s="147"/>
    </row>
    <row r="539" spans="5:5" ht="16.5" customHeight="1">
      <c r="E539" s="147"/>
    </row>
    <row r="540" spans="5:5" ht="16.5" customHeight="1">
      <c r="E540" s="147"/>
    </row>
    <row r="541" spans="5:5" ht="16.5" customHeight="1">
      <c r="E541" s="147"/>
    </row>
    <row r="542" spans="5:5" ht="16.5" customHeight="1">
      <c r="E542" s="147"/>
    </row>
    <row r="543" spans="5:5" ht="16.5" customHeight="1">
      <c r="E543" s="147"/>
    </row>
    <row r="544" spans="5:5" ht="16.5" customHeight="1">
      <c r="E544" s="147"/>
    </row>
    <row r="545" spans="5:5" ht="16.5" customHeight="1">
      <c r="E545" s="147"/>
    </row>
    <row r="546" spans="5:5" ht="16.5" customHeight="1">
      <c r="E546" s="147"/>
    </row>
    <row r="547" spans="5:5" ht="16.5" customHeight="1">
      <c r="E547" s="147"/>
    </row>
    <row r="548" spans="5:5" ht="16.5" customHeight="1">
      <c r="E548" s="147"/>
    </row>
    <row r="549" spans="5:5" ht="16.5" customHeight="1">
      <c r="E549" s="147"/>
    </row>
    <row r="550" spans="5:5" ht="16.5" customHeight="1">
      <c r="E550" s="147"/>
    </row>
    <row r="551" spans="5:5" ht="16.5" customHeight="1">
      <c r="E551" s="147"/>
    </row>
    <row r="552" spans="5:5" ht="16.5" customHeight="1">
      <c r="E552" s="147"/>
    </row>
    <row r="553" spans="5:5" ht="16.5" customHeight="1">
      <c r="E553" s="147"/>
    </row>
    <row r="554" spans="5:5" ht="16.5" customHeight="1">
      <c r="E554" s="147"/>
    </row>
    <row r="555" spans="5:5" ht="16.5" customHeight="1">
      <c r="E555" s="147"/>
    </row>
    <row r="556" spans="5:5" ht="16.5" customHeight="1">
      <c r="E556" s="147"/>
    </row>
    <row r="557" spans="5:5" ht="16.5" customHeight="1">
      <c r="E557" s="147"/>
    </row>
    <row r="558" spans="5:5" ht="16.5" customHeight="1">
      <c r="E558" s="147"/>
    </row>
    <row r="559" spans="5:5" ht="16.5" customHeight="1">
      <c r="E559" s="147"/>
    </row>
    <row r="560" spans="5:5" ht="16.5" customHeight="1">
      <c r="E560" s="147"/>
    </row>
    <row r="561" spans="5:5" ht="16.5" customHeight="1">
      <c r="E561" s="147"/>
    </row>
    <row r="562" spans="5:5" ht="16.5" customHeight="1">
      <c r="E562" s="147"/>
    </row>
    <row r="563" spans="5:5" ht="16.5" customHeight="1">
      <c r="E563" s="147"/>
    </row>
    <row r="564" spans="5:5" ht="16.5" customHeight="1">
      <c r="E564" s="147"/>
    </row>
    <row r="565" spans="5:5" ht="16.5" customHeight="1">
      <c r="E565" s="147"/>
    </row>
    <row r="566" spans="5:5" ht="16.5" customHeight="1">
      <c r="E566" s="147"/>
    </row>
    <row r="567" spans="5:5" ht="16.5" customHeight="1">
      <c r="E567" s="147"/>
    </row>
    <row r="568" spans="5:5" ht="16.5" customHeight="1">
      <c r="E568" s="147"/>
    </row>
    <row r="569" spans="5:5" ht="16.5" customHeight="1">
      <c r="E569" s="147"/>
    </row>
    <row r="570" spans="5:5" ht="16.5" customHeight="1">
      <c r="E570" s="147"/>
    </row>
    <row r="571" spans="5:5" ht="16.5" customHeight="1">
      <c r="E571" s="147"/>
    </row>
    <row r="572" spans="5:5" ht="16.5" customHeight="1">
      <c r="E572" s="147"/>
    </row>
    <row r="573" spans="5:5" ht="16.5" customHeight="1">
      <c r="E573" s="147"/>
    </row>
    <row r="574" spans="5:5" ht="16.5" customHeight="1">
      <c r="E574" s="147"/>
    </row>
    <row r="575" spans="5:5" ht="16.5" customHeight="1">
      <c r="E575" s="147"/>
    </row>
    <row r="576" spans="5:5" ht="16.5" customHeight="1">
      <c r="E576" s="147"/>
    </row>
    <row r="577" spans="5:5" ht="16.5" customHeight="1">
      <c r="E577" s="147"/>
    </row>
    <row r="578" spans="5:5" ht="16.5" customHeight="1">
      <c r="E578" s="147"/>
    </row>
    <row r="579" spans="5:5" ht="16.5" customHeight="1">
      <c r="E579" s="147"/>
    </row>
    <row r="580" spans="5:5" ht="16.5" customHeight="1">
      <c r="E580" s="147"/>
    </row>
    <row r="581" spans="5:5" ht="16.5" customHeight="1">
      <c r="E581" s="147"/>
    </row>
    <row r="582" spans="5:5" ht="16.5" customHeight="1">
      <c r="E582" s="147"/>
    </row>
    <row r="583" spans="5:5" ht="16.5" customHeight="1">
      <c r="E583" s="147"/>
    </row>
    <row r="584" spans="5:5" ht="16.5" customHeight="1">
      <c r="E584" s="147"/>
    </row>
    <row r="585" spans="5:5" ht="16.5" customHeight="1">
      <c r="E585" s="147"/>
    </row>
    <row r="586" spans="5:5" ht="16.5" customHeight="1">
      <c r="E586" s="147"/>
    </row>
    <row r="587" spans="5:5" ht="16.5" customHeight="1">
      <c r="E587" s="147"/>
    </row>
    <row r="588" spans="5:5" ht="16.5" customHeight="1">
      <c r="E588" s="147"/>
    </row>
    <row r="589" spans="5:5" ht="16.5" customHeight="1">
      <c r="E589" s="147"/>
    </row>
    <row r="590" spans="5:5" ht="16.5" customHeight="1">
      <c r="E590" s="147"/>
    </row>
    <row r="591" spans="5:5" ht="16.5" customHeight="1">
      <c r="E591" s="147"/>
    </row>
    <row r="592" spans="5:5" ht="16.5" customHeight="1">
      <c r="E592" s="147"/>
    </row>
    <row r="593" spans="5:5" ht="16.5" customHeight="1">
      <c r="E593" s="147"/>
    </row>
    <row r="594" spans="5:5" ht="16.5" customHeight="1">
      <c r="E594" s="147"/>
    </row>
    <row r="595" spans="5:5" ht="16.5" customHeight="1">
      <c r="E595" s="147"/>
    </row>
    <row r="596" spans="5:5" ht="16.5" customHeight="1">
      <c r="E596" s="147"/>
    </row>
    <row r="597" spans="5:5" ht="16.5" customHeight="1">
      <c r="E597" s="147"/>
    </row>
    <row r="598" spans="5:5" ht="16.5" customHeight="1">
      <c r="E598" s="147"/>
    </row>
    <row r="599" spans="5:5" ht="16.5" customHeight="1">
      <c r="E599" s="147"/>
    </row>
    <row r="600" spans="5:5" ht="16.5" customHeight="1">
      <c r="E600" s="147"/>
    </row>
    <row r="601" spans="5:5" ht="16.5" customHeight="1">
      <c r="E601" s="147"/>
    </row>
    <row r="602" spans="5:5" ht="16.5" customHeight="1">
      <c r="E602" s="147"/>
    </row>
    <row r="603" spans="5:5" ht="16.5" customHeight="1">
      <c r="E603" s="147"/>
    </row>
    <row r="604" spans="5:5" ht="16.5" customHeight="1">
      <c r="E604" s="147"/>
    </row>
    <row r="605" spans="5:5" ht="16.5" customHeight="1">
      <c r="E605" s="147"/>
    </row>
    <row r="606" spans="5:5" ht="16.5" customHeight="1">
      <c r="E606" s="147"/>
    </row>
    <row r="607" spans="5:5" ht="16.5" customHeight="1">
      <c r="E607" s="147"/>
    </row>
    <row r="608" spans="5:5" ht="16.5" customHeight="1">
      <c r="E608" s="147"/>
    </row>
    <row r="609" spans="5:5" ht="16.5" customHeight="1">
      <c r="E609" s="147"/>
    </row>
    <row r="610" spans="5:5" ht="16.5" customHeight="1">
      <c r="E610" s="147"/>
    </row>
    <row r="611" spans="5:5" ht="16.5" customHeight="1">
      <c r="E611" s="147"/>
    </row>
    <row r="612" spans="5:5" ht="16.5" customHeight="1">
      <c r="E612" s="147"/>
    </row>
    <row r="613" spans="5:5" ht="16.5" customHeight="1">
      <c r="E613" s="147"/>
    </row>
    <row r="614" spans="5:5" ht="16.5" customHeight="1">
      <c r="E614" s="147"/>
    </row>
    <row r="615" spans="5:5" ht="16.5" customHeight="1">
      <c r="E615" s="147"/>
    </row>
    <row r="616" spans="5:5" ht="16.5" customHeight="1">
      <c r="E616" s="147"/>
    </row>
    <row r="617" spans="5:5" ht="16.5" customHeight="1">
      <c r="E617" s="147"/>
    </row>
    <row r="618" spans="5:5" ht="16.5" customHeight="1">
      <c r="E618" s="147"/>
    </row>
    <row r="619" spans="5:5" ht="16.5" customHeight="1">
      <c r="E619" s="147"/>
    </row>
    <row r="620" spans="5:5" ht="16.5" customHeight="1">
      <c r="E620" s="147"/>
    </row>
    <row r="621" spans="5:5" ht="16.5" customHeight="1">
      <c r="E621" s="147"/>
    </row>
    <row r="622" spans="5:5" ht="16.5" customHeight="1">
      <c r="E622" s="147"/>
    </row>
    <row r="623" spans="5:5" ht="16.5" customHeight="1">
      <c r="E623" s="147"/>
    </row>
    <row r="624" spans="5:5" ht="16.5" customHeight="1">
      <c r="E624" s="147"/>
    </row>
    <row r="625" spans="5:5" ht="16.5" customHeight="1">
      <c r="E625" s="147"/>
    </row>
    <row r="626" spans="5:5" ht="16.5" customHeight="1">
      <c r="E626" s="147"/>
    </row>
    <row r="627" spans="5:5" ht="16.5" customHeight="1">
      <c r="E627" s="147"/>
    </row>
    <row r="628" spans="5:5" ht="16.5" customHeight="1">
      <c r="E628" s="147"/>
    </row>
    <row r="629" spans="5:5" ht="16.5" customHeight="1">
      <c r="E629" s="147"/>
    </row>
    <row r="630" spans="5:5" ht="16.5" customHeight="1">
      <c r="E630" s="147"/>
    </row>
    <row r="631" spans="5:5" ht="16.5" customHeight="1">
      <c r="E631" s="147"/>
    </row>
    <row r="632" spans="5:5" ht="16.5" customHeight="1">
      <c r="E632" s="147"/>
    </row>
    <row r="633" spans="5:5" ht="16.5" customHeight="1">
      <c r="E633" s="147"/>
    </row>
    <row r="634" spans="5:5" ht="16.5" customHeight="1">
      <c r="E634" s="147"/>
    </row>
    <row r="635" spans="5:5" ht="16.5" customHeight="1">
      <c r="E635" s="147"/>
    </row>
    <row r="636" spans="5:5" ht="16.5" customHeight="1">
      <c r="E636" s="147"/>
    </row>
    <row r="637" spans="5:5" ht="16.5" customHeight="1">
      <c r="E637" s="147"/>
    </row>
    <row r="638" spans="5:5" ht="16.5" customHeight="1">
      <c r="E638" s="147"/>
    </row>
    <row r="639" spans="5:5" ht="16.5" customHeight="1">
      <c r="E639" s="147"/>
    </row>
    <row r="640" spans="5:5" ht="16.5" customHeight="1">
      <c r="E640" s="147"/>
    </row>
    <row r="641" spans="5:5" ht="16.5" customHeight="1">
      <c r="E641" s="147"/>
    </row>
    <row r="642" spans="5:5" ht="16.5" customHeight="1">
      <c r="E642" s="147"/>
    </row>
    <row r="643" spans="5:5" ht="16.5" customHeight="1">
      <c r="E643" s="147"/>
    </row>
    <row r="644" spans="5:5" ht="16.5" customHeight="1">
      <c r="E644" s="147"/>
    </row>
    <row r="645" spans="5:5" ht="16.5" customHeight="1">
      <c r="E645" s="147"/>
    </row>
    <row r="646" spans="5:5" ht="16.5" customHeight="1">
      <c r="E646" s="147"/>
    </row>
    <row r="647" spans="5:5" ht="16.5" customHeight="1">
      <c r="E647" s="147"/>
    </row>
    <row r="648" spans="5:5" ht="16.5" customHeight="1">
      <c r="E648" s="147"/>
    </row>
    <row r="649" spans="5:5" ht="16.5" customHeight="1">
      <c r="E649" s="147"/>
    </row>
    <row r="650" spans="5:5" ht="16.5" customHeight="1">
      <c r="E650" s="147"/>
    </row>
    <row r="651" spans="5:5" ht="16.5" customHeight="1">
      <c r="E651" s="147"/>
    </row>
    <row r="652" spans="5:5" ht="16.5" customHeight="1">
      <c r="E652" s="147"/>
    </row>
    <row r="653" spans="5:5" ht="16.5" customHeight="1">
      <c r="E653" s="147"/>
    </row>
    <row r="654" spans="5:5" ht="16.5" customHeight="1">
      <c r="E654" s="147"/>
    </row>
    <row r="655" spans="5:5" ht="16.5" customHeight="1">
      <c r="E655" s="147"/>
    </row>
    <row r="656" spans="5:5" ht="16.5" customHeight="1">
      <c r="E656" s="147"/>
    </row>
    <row r="657" spans="5:5" ht="16.5" customHeight="1">
      <c r="E657" s="147"/>
    </row>
    <row r="658" spans="5:5" ht="16.5" customHeight="1">
      <c r="E658" s="147"/>
    </row>
    <row r="659" spans="5:5" ht="16.5" customHeight="1">
      <c r="E659" s="147"/>
    </row>
    <row r="660" spans="5:5" ht="16.5" customHeight="1">
      <c r="E660" s="147"/>
    </row>
    <row r="661" spans="5:5" ht="16.5" customHeight="1">
      <c r="E661" s="147"/>
    </row>
    <row r="662" spans="5:5" ht="16.5" customHeight="1">
      <c r="E662" s="147"/>
    </row>
    <row r="663" spans="5:5" ht="16.5" customHeight="1">
      <c r="E663" s="147"/>
    </row>
    <row r="664" spans="5:5" ht="16.5" customHeight="1">
      <c r="E664" s="147"/>
    </row>
    <row r="665" spans="5:5" ht="16.5" customHeight="1">
      <c r="E665" s="147"/>
    </row>
    <row r="666" spans="5:5" ht="16.5" customHeight="1">
      <c r="E666" s="147"/>
    </row>
    <row r="667" spans="5:5" ht="16.5" customHeight="1">
      <c r="E667" s="147"/>
    </row>
    <row r="668" spans="5:5" ht="16.5" customHeight="1">
      <c r="E668" s="147"/>
    </row>
    <row r="669" spans="5:5" ht="16.5" customHeight="1">
      <c r="E669" s="147"/>
    </row>
    <row r="670" spans="5:5" ht="16.5" customHeight="1">
      <c r="E670" s="147"/>
    </row>
    <row r="671" spans="5:5" ht="16.5" customHeight="1">
      <c r="E671" s="147"/>
    </row>
    <row r="672" spans="5:5" ht="16.5" customHeight="1">
      <c r="E672" s="147"/>
    </row>
    <row r="673" spans="5:5" ht="16.5" customHeight="1">
      <c r="E673" s="147"/>
    </row>
    <row r="674" spans="5:5" ht="16.5" customHeight="1">
      <c r="E674" s="147"/>
    </row>
    <row r="675" spans="5:5" ht="16.5" customHeight="1">
      <c r="E675" s="147"/>
    </row>
    <row r="676" spans="5:5" ht="16.5" customHeight="1">
      <c r="E676" s="147"/>
    </row>
    <row r="677" spans="5:5" ht="16.5" customHeight="1">
      <c r="E677" s="147"/>
    </row>
    <row r="678" spans="5:5" ht="16.5" customHeight="1">
      <c r="E678" s="147"/>
    </row>
    <row r="679" spans="5:5" ht="16.5" customHeight="1">
      <c r="E679" s="147"/>
    </row>
    <row r="680" spans="5:5" ht="16.5" customHeight="1">
      <c r="E680" s="147"/>
    </row>
    <row r="681" spans="5:5" ht="16.5" customHeight="1">
      <c r="E681" s="147"/>
    </row>
    <row r="682" spans="5:5" ht="16.5" customHeight="1">
      <c r="E682" s="147"/>
    </row>
    <row r="683" spans="5:5" ht="16.5" customHeight="1">
      <c r="E683" s="147"/>
    </row>
    <row r="684" spans="5:5" ht="16.5" customHeight="1">
      <c r="E684" s="147"/>
    </row>
    <row r="685" spans="5:5" ht="16.5" customHeight="1">
      <c r="E685" s="147"/>
    </row>
    <row r="686" spans="5:5" ht="16.5" customHeight="1">
      <c r="E686" s="147"/>
    </row>
    <row r="687" spans="5:5" ht="16.5" customHeight="1">
      <c r="E687" s="147"/>
    </row>
    <row r="688" spans="5:5" ht="16.5" customHeight="1">
      <c r="E688" s="147"/>
    </row>
    <row r="689" spans="5:5" ht="16.5" customHeight="1">
      <c r="E689" s="147"/>
    </row>
    <row r="690" spans="5:5" ht="16.5" customHeight="1">
      <c r="E690" s="147"/>
    </row>
    <row r="691" spans="5:5" ht="16.5" customHeight="1">
      <c r="E691" s="147"/>
    </row>
    <row r="692" spans="5:5" ht="16.5" customHeight="1">
      <c r="E692" s="147"/>
    </row>
    <row r="693" spans="5:5" ht="16.5" customHeight="1">
      <c r="E693" s="147"/>
    </row>
    <row r="694" spans="5:5" ht="16.5" customHeight="1">
      <c r="E694" s="147"/>
    </row>
    <row r="695" spans="5:5" ht="16.5" customHeight="1">
      <c r="E695" s="147"/>
    </row>
    <row r="696" spans="5:5" ht="16.5" customHeight="1">
      <c r="E696" s="147"/>
    </row>
    <row r="697" spans="5:5" ht="16.5" customHeight="1">
      <c r="E697" s="147"/>
    </row>
    <row r="698" spans="5:5" ht="16.5" customHeight="1">
      <c r="E698" s="147"/>
    </row>
    <row r="699" spans="5:5" ht="16.5" customHeight="1">
      <c r="E699" s="147"/>
    </row>
    <row r="700" spans="5:5" ht="16.5" customHeight="1">
      <c r="E700" s="147"/>
    </row>
    <row r="701" spans="5:5" ht="16.5" customHeight="1">
      <c r="E701" s="147"/>
    </row>
    <row r="702" spans="5:5" ht="16.5" customHeight="1">
      <c r="E702" s="147"/>
    </row>
    <row r="703" spans="5:5" ht="16.5" customHeight="1">
      <c r="E703" s="147"/>
    </row>
    <row r="704" spans="5:5" ht="16.5" customHeight="1">
      <c r="E704" s="147"/>
    </row>
    <row r="705" spans="5:5" ht="16.5" customHeight="1">
      <c r="E705" s="147"/>
    </row>
    <row r="706" spans="5:5" ht="16.5" customHeight="1">
      <c r="E706" s="147"/>
    </row>
    <row r="707" spans="5:5" ht="16.5" customHeight="1">
      <c r="E707" s="147"/>
    </row>
    <row r="708" spans="5:5" ht="16.5" customHeight="1">
      <c r="E708" s="147"/>
    </row>
    <row r="709" spans="5:5" ht="16.5" customHeight="1">
      <c r="E709" s="147"/>
    </row>
    <row r="710" spans="5:5" ht="16.5" customHeight="1">
      <c r="E710" s="147"/>
    </row>
    <row r="711" spans="5:5" ht="16.5" customHeight="1">
      <c r="E711" s="147"/>
    </row>
    <row r="712" spans="5:5" ht="16.5" customHeight="1">
      <c r="E712" s="147"/>
    </row>
    <row r="713" spans="5:5" ht="16.5" customHeight="1">
      <c r="E713" s="147"/>
    </row>
    <row r="714" spans="5:5" ht="16.5" customHeight="1">
      <c r="E714" s="147"/>
    </row>
    <row r="715" spans="5:5" ht="16.5" customHeight="1">
      <c r="E715" s="147"/>
    </row>
    <row r="716" spans="5:5" ht="16.5" customHeight="1">
      <c r="E716" s="147"/>
    </row>
    <row r="717" spans="5:5" ht="16.5" customHeight="1">
      <c r="E717" s="147"/>
    </row>
    <row r="718" spans="5:5" ht="16.5" customHeight="1">
      <c r="E718" s="147"/>
    </row>
    <row r="719" spans="5:5" ht="16.5" customHeight="1">
      <c r="E719" s="147"/>
    </row>
    <row r="720" spans="5:5" ht="16.5" customHeight="1">
      <c r="E720" s="147"/>
    </row>
    <row r="721" spans="5:5" ht="16.5" customHeight="1">
      <c r="E721" s="147"/>
    </row>
    <row r="722" spans="5:5" ht="16.5" customHeight="1">
      <c r="E722" s="147"/>
    </row>
    <row r="723" spans="5:5" ht="16.5" customHeight="1">
      <c r="E723" s="147"/>
    </row>
    <row r="724" spans="5:5" ht="16.5" customHeight="1">
      <c r="E724" s="147"/>
    </row>
    <row r="725" spans="5:5" ht="16.5" customHeight="1">
      <c r="E725" s="147"/>
    </row>
    <row r="726" spans="5:5" ht="16.5" customHeight="1">
      <c r="E726" s="147"/>
    </row>
    <row r="727" spans="5:5" ht="16.5" customHeight="1">
      <c r="E727" s="147"/>
    </row>
    <row r="728" spans="5:5" ht="16.5" customHeight="1">
      <c r="E728" s="147"/>
    </row>
    <row r="729" spans="5:5" ht="16.5" customHeight="1">
      <c r="E729" s="147"/>
    </row>
    <row r="730" spans="5:5" ht="16.5" customHeight="1">
      <c r="E730" s="147"/>
    </row>
    <row r="731" spans="5:5" ht="16.5" customHeight="1">
      <c r="E731" s="147"/>
    </row>
    <row r="732" spans="5:5" ht="16.5" customHeight="1">
      <c r="E732" s="147"/>
    </row>
    <row r="733" spans="5:5" ht="16.5" customHeight="1">
      <c r="E733" s="147"/>
    </row>
    <row r="734" spans="5:5" ht="16.5" customHeight="1">
      <c r="E734" s="147"/>
    </row>
    <row r="735" spans="5:5" ht="16.5" customHeight="1">
      <c r="E735" s="147"/>
    </row>
    <row r="736" spans="5:5" ht="16.5" customHeight="1">
      <c r="E736" s="147"/>
    </row>
    <row r="737" spans="5:5" ht="16.5" customHeight="1">
      <c r="E737" s="147"/>
    </row>
    <row r="738" spans="5:5" ht="16.5" customHeight="1">
      <c r="E738" s="147"/>
    </row>
    <row r="739" spans="5:5" ht="16.5" customHeight="1">
      <c r="E739" s="147"/>
    </row>
    <row r="740" spans="5:5" ht="16.5" customHeight="1">
      <c r="E740" s="147"/>
    </row>
    <row r="741" spans="5:5" ht="16.5" customHeight="1">
      <c r="E741" s="147"/>
    </row>
    <row r="742" spans="5:5" ht="16.5" customHeight="1">
      <c r="E742" s="147"/>
    </row>
    <row r="743" spans="5:5" ht="16.5" customHeight="1">
      <c r="E743" s="147"/>
    </row>
    <row r="744" spans="5:5" ht="16.5" customHeight="1">
      <c r="E744" s="147"/>
    </row>
    <row r="745" spans="5:5" ht="16.5" customHeight="1">
      <c r="E745" s="147"/>
    </row>
    <row r="746" spans="5:5" ht="16.5" customHeight="1">
      <c r="E746" s="147"/>
    </row>
    <row r="747" spans="5:5" ht="16.5" customHeight="1">
      <c r="E747" s="147"/>
    </row>
    <row r="748" spans="5:5" ht="16.5" customHeight="1">
      <c r="E748" s="147"/>
    </row>
    <row r="749" spans="5:5" ht="16.5" customHeight="1">
      <c r="E749" s="147"/>
    </row>
    <row r="750" spans="5:5" ht="16.5" customHeight="1">
      <c r="E750" s="147"/>
    </row>
    <row r="751" spans="5:5" ht="16.5" customHeight="1">
      <c r="E751" s="147"/>
    </row>
    <row r="752" spans="5:5" ht="16.5" customHeight="1">
      <c r="E752" s="147"/>
    </row>
    <row r="753" spans="5:5" ht="16.5" customHeight="1">
      <c r="E753" s="147"/>
    </row>
    <row r="754" spans="5:5" ht="16.5" customHeight="1">
      <c r="E754" s="147"/>
    </row>
    <row r="755" spans="5:5" ht="16.5" customHeight="1">
      <c r="E755" s="147"/>
    </row>
    <row r="756" spans="5:5" ht="16.5" customHeight="1">
      <c r="E756" s="147"/>
    </row>
    <row r="757" spans="5:5" ht="16.5" customHeight="1">
      <c r="E757" s="147"/>
    </row>
    <row r="758" spans="5:5" ht="16.5" customHeight="1">
      <c r="E758" s="147"/>
    </row>
    <row r="759" spans="5:5" ht="16.5" customHeight="1">
      <c r="E759" s="147"/>
    </row>
    <row r="760" spans="5:5" ht="16.5" customHeight="1">
      <c r="E760" s="147"/>
    </row>
    <row r="761" spans="5:5" ht="16.5" customHeight="1">
      <c r="E761" s="147"/>
    </row>
    <row r="762" spans="5:5" ht="16.5" customHeight="1">
      <c r="E762" s="147"/>
    </row>
    <row r="763" spans="5:5" ht="16.5" customHeight="1">
      <c r="E763" s="147"/>
    </row>
    <row r="764" spans="5:5" ht="16.5" customHeight="1">
      <c r="E764" s="147"/>
    </row>
    <row r="765" spans="5:5" ht="16.5" customHeight="1">
      <c r="E765" s="147"/>
    </row>
    <row r="766" spans="5:5" ht="16.5" customHeight="1">
      <c r="E766" s="147"/>
    </row>
    <row r="767" spans="5:5" ht="16.5" customHeight="1">
      <c r="E767" s="147"/>
    </row>
    <row r="768" spans="5:5" ht="16.5" customHeight="1">
      <c r="E768" s="147"/>
    </row>
    <row r="769" spans="5:5" ht="16.5" customHeight="1">
      <c r="E769" s="147"/>
    </row>
    <row r="770" spans="5:5" ht="16.5" customHeight="1">
      <c r="E770" s="147"/>
    </row>
    <row r="771" spans="5:5" ht="16.5" customHeight="1">
      <c r="E771" s="147"/>
    </row>
    <row r="772" spans="5:5" ht="16.5" customHeight="1">
      <c r="E772" s="147"/>
    </row>
    <row r="773" spans="5:5" ht="16.5" customHeight="1">
      <c r="E773" s="147"/>
    </row>
    <row r="774" spans="5:5" ht="16.5" customHeight="1">
      <c r="E774" s="147"/>
    </row>
    <row r="775" spans="5:5" ht="16.5" customHeight="1">
      <c r="E775" s="147"/>
    </row>
    <row r="776" spans="5:5" ht="16.5" customHeight="1">
      <c r="E776" s="147"/>
    </row>
    <row r="777" spans="5:5" ht="16.5" customHeight="1">
      <c r="E777" s="147"/>
    </row>
    <row r="778" spans="5:5" ht="16.5" customHeight="1">
      <c r="E778" s="147"/>
    </row>
    <row r="779" spans="5:5" ht="16.5" customHeight="1">
      <c r="E779" s="147"/>
    </row>
    <row r="780" spans="5:5" ht="16.5" customHeight="1">
      <c r="E780" s="147"/>
    </row>
    <row r="781" spans="5:5" ht="16.5" customHeight="1">
      <c r="E781" s="147"/>
    </row>
    <row r="782" spans="5:5" ht="16.5" customHeight="1">
      <c r="E782" s="147"/>
    </row>
    <row r="783" spans="5:5" ht="16.5" customHeight="1">
      <c r="E783" s="147"/>
    </row>
    <row r="784" spans="5:5" ht="16.5" customHeight="1">
      <c r="E784" s="147"/>
    </row>
    <row r="785" spans="5:5" ht="16.5" customHeight="1">
      <c r="E785" s="147"/>
    </row>
    <row r="786" spans="5:5" ht="16.5" customHeight="1">
      <c r="E786" s="147"/>
    </row>
    <row r="787" spans="5:5" ht="16.5" customHeight="1">
      <c r="E787" s="147"/>
    </row>
    <row r="788" spans="5:5" ht="16.5" customHeight="1">
      <c r="E788" s="147"/>
    </row>
    <row r="789" spans="5:5" ht="16.5" customHeight="1">
      <c r="E789" s="147"/>
    </row>
    <row r="790" spans="5:5" ht="16.5" customHeight="1">
      <c r="E790" s="147"/>
    </row>
    <row r="791" spans="5:5" ht="16.5" customHeight="1">
      <c r="E791" s="147"/>
    </row>
    <row r="792" spans="5:5" ht="16.5" customHeight="1">
      <c r="E792" s="147"/>
    </row>
    <row r="793" spans="5:5" ht="16.5" customHeight="1">
      <c r="E793" s="147"/>
    </row>
    <row r="794" spans="5:5" ht="16.5" customHeight="1">
      <c r="E794" s="147"/>
    </row>
    <row r="795" spans="5:5" ht="16.5" customHeight="1">
      <c r="E795" s="147"/>
    </row>
    <row r="796" spans="5:5" ht="16.5" customHeight="1">
      <c r="E796" s="147"/>
    </row>
    <row r="797" spans="5:5" ht="16.5" customHeight="1">
      <c r="E797" s="147"/>
    </row>
    <row r="798" spans="5:5" ht="16.5" customHeight="1">
      <c r="E798" s="147"/>
    </row>
    <row r="799" spans="5:5" ht="16.5" customHeight="1">
      <c r="E799" s="147"/>
    </row>
    <row r="800" spans="5:5" ht="16.5" customHeight="1">
      <c r="E800" s="147"/>
    </row>
    <row r="801" spans="5:5" ht="16.5" customHeight="1">
      <c r="E801" s="147"/>
    </row>
    <row r="802" spans="5:5" ht="16.5" customHeight="1">
      <c r="E802" s="147"/>
    </row>
    <row r="803" spans="5:5" ht="16.5" customHeight="1">
      <c r="E803" s="147"/>
    </row>
    <row r="804" spans="5:5" ht="16.5" customHeight="1">
      <c r="E804" s="147"/>
    </row>
    <row r="805" spans="5:5" ht="16.5" customHeight="1">
      <c r="E805" s="147"/>
    </row>
    <row r="806" spans="5:5" ht="16.5" customHeight="1">
      <c r="E806" s="147"/>
    </row>
    <row r="807" spans="5:5" ht="16.5" customHeight="1">
      <c r="E807" s="147"/>
    </row>
    <row r="808" spans="5:5" ht="16.5" customHeight="1">
      <c r="E808" s="147"/>
    </row>
    <row r="809" spans="5:5" ht="16.5" customHeight="1">
      <c r="E809" s="147"/>
    </row>
    <row r="810" spans="5:5" ht="16.5" customHeight="1">
      <c r="E810" s="147"/>
    </row>
    <row r="811" spans="5:5" ht="16.5" customHeight="1">
      <c r="E811" s="147"/>
    </row>
    <row r="812" spans="5:5" ht="16.5" customHeight="1">
      <c r="E812" s="147"/>
    </row>
    <row r="813" spans="5:5" ht="16.5" customHeight="1">
      <c r="E813" s="147"/>
    </row>
    <row r="814" spans="5:5" ht="16.5" customHeight="1">
      <c r="E814" s="147"/>
    </row>
    <row r="815" spans="5:5" ht="16.5" customHeight="1">
      <c r="E815" s="147"/>
    </row>
    <row r="816" spans="5:5" ht="16.5" customHeight="1">
      <c r="E816" s="147"/>
    </row>
    <row r="817" spans="5:5" ht="16.5" customHeight="1">
      <c r="E817" s="147"/>
    </row>
    <row r="818" spans="5:5" ht="16.5" customHeight="1">
      <c r="E818" s="147"/>
    </row>
    <row r="819" spans="5:5" ht="16.5" customHeight="1">
      <c r="E819" s="147"/>
    </row>
    <row r="820" spans="5:5" ht="16.5" customHeight="1">
      <c r="E820" s="147"/>
    </row>
    <row r="821" spans="5:5" ht="16.5" customHeight="1">
      <c r="E821" s="147"/>
    </row>
    <row r="822" spans="5:5" ht="16.5" customHeight="1">
      <c r="E822" s="147"/>
    </row>
    <row r="823" spans="5:5" ht="16.5" customHeight="1">
      <c r="E823" s="147"/>
    </row>
    <row r="824" spans="5:5" ht="16.5" customHeight="1">
      <c r="E824" s="147"/>
    </row>
    <row r="825" spans="5:5" ht="16.5" customHeight="1">
      <c r="E825" s="147"/>
    </row>
    <row r="826" spans="5:5" ht="16.5" customHeight="1">
      <c r="E826" s="147"/>
    </row>
    <row r="827" spans="5:5" ht="16.5" customHeight="1">
      <c r="E827" s="147"/>
    </row>
    <row r="828" spans="5:5" ht="16.5" customHeight="1">
      <c r="E828" s="147"/>
    </row>
    <row r="829" spans="5:5" ht="16.5" customHeight="1">
      <c r="E829" s="147"/>
    </row>
    <row r="830" spans="5:5" ht="16.5" customHeight="1">
      <c r="E830" s="147"/>
    </row>
    <row r="831" spans="5:5" ht="16.5" customHeight="1">
      <c r="E831" s="147"/>
    </row>
    <row r="832" spans="5:5" ht="16.5" customHeight="1">
      <c r="E832" s="147"/>
    </row>
    <row r="833" spans="5:5" ht="16.5" customHeight="1">
      <c r="E833" s="147"/>
    </row>
    <row r="834" spans="5:5" ht="16.5" customHeight="1">
      <c r="E834" s="147"/>
    </row>
    <row r="835" spans="5:5" ht="16.5" customHeight="1">
      <c r="E835" s="147"/>
    </row>
    <row r="836" spans="5:5" ht="16.5" customHeight="1">
      <c r="E836" s="147"/>
    </row>
    <row r="837" spans="5:5" ht="16.5" customHeight="1">
      <c r="E837" s="147"/>
    </row>
    <row r="838" spans="5:5" ht="16.5" customHeight="1">
      <c r="E838" s="147"/>
    </row>
    <row r="839" spans="5:5" ht="16.5" customHeight="1">
      <c r="E839" s="147"/>
    </row>
    <row r="840" spans="5:5" ht="16.5" customHeight="1">
      <c r="E840" s="147"/>
    </row>
    <row r="841" spans="5:5" ht="16.5" customHeight="1">
      <c r="E841" s="147"/>
    </row>
    <row r="842" spans="5:5" ht="16.5" customHeight="1">
      <c r="E842" s="147"/>
    </row>
    <row r="843" spans="5:5" ht="16.5" customHeight="1">
      <c r="E843" s="147"/>
    </row>
    <row r="844" spans="5:5" ht="16.5" customHeight="1">
      <c r="E844" s="147"/>
    </row>
    <row r="845" spans="5:5" ht="16.5" customHeight="1">
      <c r="E845" s="147"/>
    </row>
    <row r="846" spans="5:5" ht="16.5" customHeight="1">
      <c r="E846" s="147"/>
    </row>
    <row r="847" spans="5:5" ht="16.5" customHeight="1">
      <c r="E847" s="147"/>
    </row>
    <row r="848" spans="5:5" ht="16.5" customHeight="1">
      <c r="E848" s="147"/>
    </row>
    <row r="849" spans="5:5" ht="16.5" customHeight="1">
      <c r="E849" s="147"/>
    </row>
    <row r="850" spans="5:5" ht="16.5" customHeight="1">
      <c r="E850" s="147"/>
    </row>
    <row r="851" spans="5:5" ht="16.5" customHeight="1">
      <c r="E851" s="147"/>
    </row>
    <row r="852" spans="5:5" ht="16.5" customHeight="1">
      <c r="E852" s="147"/>
    </row>
    <row r="853" spans="5:5" ht="16.5" customHeight="1">
      <c r="E853" s="147"/>
    </row>
    <row r="854" spans="5:5" ht="16.5" customHeight="1">
      <c r="E854" s="147"/>
    </row>
    <row r="855" spans="5:5" ht="16.5" customHeight="1">
      <c r="E855" s="147"/>
    </row>
    <row r="856" spans="5:5" ht="16.5" customHeight="1">
      <c r="E856" s="147"/>
    </row>
    <row r="857" spans="5:5" ht="16.5" customHeight="1">
      <c r="E857" s="147"/>
    </row>
    <row r="858" spans="5:5" ht="16.5" customHeight="1">
      <c r="E858" s="147"/>
    </row>
    <row r="859" spans="5:5" ht="16.5" customHeight="1">
      <c r="E859" s="147"/>
    </row>
    <row r="860" spans="5:5" ht="16.5" customHeight="1">
      <c r="E860" s="147"/>
    </row>
    <row r="861" spans="5:5" ht="16.5" customHeight="1">
      <c r="E861" s="147"/>
    </row>
    <row r="862" spans="5:5" ht="16.5" customHeight="1">
      <c r="E862" s="147"/>
    </row>
    <row r="863" spans="5:5" ht="16.5" customHeight="1">
      <c r="E863" s="147"/>
    </row>
    <row r="864" spans="5:5" ht="16.5" customHeight="1">
      <c r="E864" s="147"/>
    </row>
    <row r="865" spans="5:5" ht="16.5" customHeight="1">
      <c r="E865" s="147"/>
    </row>
    <row r="866" spans="5:5" ht="16.5" customHeight="1">
      <c r="E866" s="147"/>
    </row>
    <row r="867" spans="5:5" ht="16.5" customHeight="1">
      <c r="E867" s="147"/>
    </row>
    <row r="868" spans="5:5" ht="16.5" customHeight="1">
      <c r="E868" s="147"/>
    </row>
    <row r="869" spans="5:5" ht="16.5" customHeight="1">
      <c r="E869" s="147"/>
    </row>
    <row r="870" spans="5:5" ht="16.5" customHeight="1">
      <c r="E870" s="147"/>
    </row>
    <row r="871" spans="5:5" ht="16.5" customHeight="1">
      <c r="E871" s="147"/>
    </row>
    <row r="872" spans="5:5" ht="16.5" customHeight="1">
      <c r="E872" s="147"/>
    </row>
    <row r="873" spans="5:5" ht="16.5" customHeight="1">
      <c r="E873" s="147"/>
    </row>
    <row r="874" spans="5:5" ht="16.5" customHeight="1">
      <c r="E874" s="147"/>
    </row>
    <row r="875" spans="5:5" ht="16.5" customHeight="1">
      <c r="E875" s="147"/>
    </row>
    <row r="876" spans="5:5" ht="16.5" customHeight="1">
      <c r="E876" s="147"/>
    </row>
    <row r="877" spans="5:5" ht="16.5" customHeight="1">
      <c r="E877" s="147"/>
    </row>
    <row r="878" spans="5:5" ht="16.5" customHeight="1">
      <c r="E878" s="147"/>
    </row>
    <row r="879" spans="5:5" ht="16.5" customHeight="1">
      <c r="E879" s="147"/>
    </row>
    <row r="880" spans="5:5" ht="16.5" customHeight="1">
      <c r="E880" s="147"/>
    </row>
    <row r="881" spans="5:5" ht="16.5" customHeight="1">
      <c r="E881" s="147"/>
    </row>
    <row r="882" spans="5:5" ht="16.5" customHeight="1">
      <c r="E882" s="147"/>
    </row>
    <row r="883" spans="5:5" ht="16.5" customHeight="1">
      <c r="E883" s="147"/>
    </row>
    <row r="884" spans="5:5" ht="16.5" customHeight="1">
      <c r="E884" s="147"/>
    </row>
    <row r="885" spans="5:5" ht="16.5" customHeight="1">
      <c r="E885" s="147"/>
    </row>
    <row r="886" spans="5:5" ht="16.5" customHeight="1">
      <c r="E886" s="147"/>
    </row>
    <row r="887" spans="5:5" ht="16.5" customHeight="1">
      <c r="E887" s="147"/>
    </row>
    <row r="888" spans="5:5" ht="16.5" customHeight="1">
      <c r="E888" s="147"/>
    </row>
    <row r="889" spans="5:5" ht="16.5" customHeight="1">
      <c r="E889" s="147"/>
    </row>
    <row r="890" spans="5:5" ht="16.5" customHeight="1">
      <c r="E890" s="147"/>
    </row>
    <row r="891" spans="5:5" ht="16.5" customHeight="1">
      <c r="E891" s="147"/>
    </row>
    <row r="892" spans="5:5" ht="16.5" customHeight="1">
      <c r="E892" s="147"/>
    </row>
    <row r="893" spans="5:5" ht="16.5" customHeight="1">
      <c r="E893" s="147"/>
    </row>
    <row r="894" spans="5:5" ht="16.5" customHeight="1">
      <c r="E894" s="147"/>
    </row>
    <row r="895" spans="5:5" ht="16.5" customHeight="1">
      <c r="E895" s="147"/>
    </row>
    <row r="896" spans="5:5" ht="16.5" customHeight="1">
      <c r="E896" s="147"/>
    </row>
    <row r="897" spans="5:5" ht="16.5" customHeight="1">
      <c r="E897" s="147"/>
    </row>
    <row r="898" spans="5:5" ht="16.5" customHeight="1">
      <c r="E898" s="147"/>
    </row>
    <row r="899" spans="5:5" ht="16.5" customHeight="1">
      <c r="E899" s="147"/>
    </row>
    <row r="900" spans="5:5" ht="16.5" customHeight="1">
      <c r="E900" s="147"/>
    </row>
    <row r="901" spans="5:5" ht="16.5" customHeight="1">
      <c r="E901" s="147"/>
    </row>
    <row r="902" spans="5:5" ht="16.5" customHeight="1">
      <c r="E902" s="147"/>
    </row>
    <row r="903" spans="5:5" ht="16.5" customHeight="1">
      <c r="E903" s="147"/>
    </row>
    <row r="904" spans="5:5" ht="16.5" customHeight="1">
      <c r="E904" s="147"/>
    </row>
    <row r="905" spans="5:5" ht="16.5" customHeight="1">
      <c r="E905" s="147"/>
    </row>
    <row r="906" spans="5:5" ht="16.5" customHeight="1">
      <c r="E906" s="147"/>
    </row>
    <row r="907" spans="5:5" ht="16.5" customHeight="1">
      <c r="E907" s="147"/>
    </row>
  </sheetData>
  <mergeCells count="2">
    <mergeCell ref="A2:H2"/>
    <mergeCell ref="A1:H1"/>
  </mergeCells>
  <phoneticPr fontId="10" type="noConversion"/>
  <hyperlinks>
    <hyperlink ref="A1:H1" r:id="rId1" display="教育版支援的單位及範圍(規則)" xr:uid="{00000000-0004-0000-0400-000000000000}"/>
  </hyperlinks>
  <pageMargins left="0.25" right="0.25" top="0.75" bottom="0.75" header="0" footer="0"/>
  <pageSetup paperSize="9"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4A7B7-682E-3049-84F3-9052AF3CF19D}">
  <sheetPr>
    <pageSetUpPr fitToPage="1"/>
  </sheetPr>
  <dimension ref="A1:J736"/>
  <sheetViews>
    <sheetView zoomScale="75" zoomScaleNormal="75" workbookViewId="0">
      <pane ySplit="3" topLeftCell="A4" activePane="bottomLeft" state="frozen"/>
      <selection pane="bottomLeft" activeCell="A4" sqref="A4"/>
    </sheetView>
  </sheetViews>
  <sheetFormatPr baseColWidth="10" defaultColWidth="11.140625" defaultRowHeight="15" customHeight="1"/>
  <cols>
    <col min="1" max="1" width="18.85546875" style="155" customWidth="1"/>
    <col min="2" max="2" width="22.42578125" style="155" bestFit="1" customWidth="1"/>
    <col min="3" max="3" width="48.85546875" style="155" bestFit="1" customWidth="1"/>
    <col min="4" max="4" width="29.28515625" style="155" bestFit="1" customWidth="1"/>
    <col min="5" max="5" width="9.140625" style="155" customWidth="1"/>
    <col min="6" max="7" width="11.28515625" style="157" bestFit="1" customWidth="1"/>
    <col min="8" max="9" width="13" style="156" customWidth="1"/>
    <col min="10" max="10" width="11.42578125" style="155" customWidth="1"/>
    <col min="11" max="25" width="6.85546875" style="155" customWidth="1"/>
    <col min="26" max="16384" width="11.140625" style="155"/>
  </cols>
  <sheetData>
    <row r="1" spans="1:10" s="175" customFormat="1" ht="23.25" customHeight="1">
      <c r="A1" s="181" t="s">
        <v>707</v>
      </c>
      <c r="B1" s="181"/>
      <c r="C1" s="181"/>
      <c r="D1" s="181"/>
      <c r="E1" s="181"/>
      <c r="F1" s="181"/>
      <c r="G1" s="181"/>
      <c r="H1" s="181"/>
    </row>
    <row r="2" spans="1:10" ht="53.25" customHeight="1">
      <c r="A2" s="182" t="s">
        <v>561</v>
      </c>
      <c r="B2" s="182"/>
      <c r="C2" s="182"/>
      <c r="D2" s="182"/>
      <c r="E2" s="182"/>
      <c r="F2" s="182"/>
      <c r="G2" s="182"/>
      <c r="H2" s="182"/>
      <c r="I2" s="182"/>
      <c r="J2" s="174"/>
    </row>
    <row r="3" spans="1:10" ht="24">
      <c r="A3" s="173" t="s">
        <v>412</v>
      </c>
      <c r="B3" s="173"/>
    </row>
    <row r="4" spans="1:10" ht="38" thickBot="1">
      <c r="A4" s="172" t="s">
        <v>715</v>
      </c>
      <c r="B4" s="172"/>
      <c r="C4" s="172"/>
      <c r="D4" s="172"/>
      <c r="E4" s="165"/>
      <c r="F4" s="171"/>
      <c r="G4" s="171"/>
      <c r="J4" s="165"/>
    </row>
    <row r="5" spans="1:10" ht="30">
      <c r="A5" s="170" t="s">
        <v>222</v>
      </c>
      <c r="B5" s="169" t="s">
        <v>414</v>
      </c>
      <c r="C5" s="169" t="s">
        <v>1</v>
      </c>
      <c r="D5" s="169" t="s">
        <v>2</v>
      </c>
      <c r="E5" s="168" t="s">
        <v>4</v>
      </c>
      <c r="F5" s="167" t="s">
        <v>415</v>
      </c>
      <c r="G5" s="167" t="s">
        <v>416</v>
      </c>
      <c r="H5" s="166" t="s">
        <v>559</v>
      </c>
      <c r="I5" s="166" t="s">
        <v>560</v>
      </c>
      <c r="J5" s="165"/>
    </row>
    <row r="6" spans="1:10" ht="16.5" customHeight="1" thickBot="1">
      <c r="A6" s="164" t="s">
        <v>736</v>
      </c>
      <c r="B6" s="163" t="s">
        <v>718</v>
      </c>
      <c r="C6" s="163" t="s">
        <v>733</v>
      </c>
      <c r="D6" s="162" t="s">
        <v>735</v>
      </c>
      <c r="E6" s="161">
        <v>1</v>
      </c>
      <c r="F6" s="160">
        <f>'CloudFusion Commercial Service'!F4*0.8</f>
        <v>36000</v>
      </c>
      <c r="G6" s="160">
        <f>'CloudFusion Commercial Service'!G4*0.8</f>
        <v>1296</v>
      </c>
      <c r="H6" s="159">
        <f t="shared" ref="H6:I9" si="0">F6*0.8</f>
        <v>28800</v>
      </c>
      <c r="I6" s="159">
        <f t="shared" si="0"/>
        <v>1036.8</v>
      </c>
      <c r="J6" s="158"/>
    </row>
    <row r="7" spans="1:10" ht="16.5" customHeight="1" thickBot="1">
      <c r="A7" s="164" t="s">
        <v>737</v>
      </c>
      <c r="B7" s="163" t="s">
        <v>718</v>
      </c>
      <c r="C7" s="163" t="s">
        <v>734</v>
      </c>
      <c r="D7" s="162" t="s">
        <v>735</v>
      </c>
      <c r="E7" s="161">
        <v>1</v>
      </c>
      <c r="F7" s="160">
        <f>'CloudFusion Commercial Service'!F5*0.8</f>
        <v>20000</v>
      </c>
      <c r="G7" s="160">
        <f>'CloudFusion Commercial Service'!G5*0.8</f>
        <v>720</v>
      </c>
      <c r="H7" s="159">
        <f t="shared" si="0"/>
        <v>16000</v>
      </c>
      <c r="I7" s="159">
        <f t="shared" si="0"/>
        <v>576</v>
      </c>
      <c r="J7" s="158"/>
    </row>
    <row r="8" spans="1:10" ht="16.5" customHeight="1" thickBot="1">
      <c r="A8" s="164" t="s">
        <v>738</v>
      </c>
      <c r="B8" s="163" t="s">
        <v>718</v>
      </c>
      <c r="C8" s="163" t="s">
        <v>716</v>
      </c>
      <c r="D8" s="162" t="s">
        <v>719</v>
      </c>
      <c r="E8" s="161">
        <v>1</v>
      </c>
      <c r="F8" s="160">
        <f>'CloudFusion Commercial Service'!F6*0.8</f>
        <v>24000</v>
      </c>
      <c r="G8" s="160">
        <f>'CloudFusion Commercial Service'!G6*0.8</f>
        <v>864</v>
      </c>
      <c r="H8" s="159">
        <f t="shared" si="0"/>
        <v>19200</v>
      </c>
      <c r="I8" s="159">
        <f t="shared" si="0"/>
        <v>691.2</v>
      </c>
      <c r="J8" s="158"/>
    </row>
    <row r="9" spans="1:10" ht="16.5" customHeight="1" thickBot="1">
      <c r="A9" s="164" t="s">
        <v>738</v>
      </c>
      <c r="B9" s="163" t="s">
        <v>718</v>
      </c>
      <c r="C9" s="163" t="s">
        <v>717</v>
      </c>
      <c r="D9" s="162" t="s">
        <v>719</v>
      </c>
      <c r="E9" s="161">
        <v>1</v>
      </c>
      <c r="F9" s="160">
        <f>'CloudFusion Commercial Service'!F7*0.8</f>
        <v>14000</v>
      </c>
      <c r="G9" s="160">
        <f>'CloudFusion Commercial Service'!G7*0.8</f>
        <v>504</v>
      </c>
      <c r="H9" s="159">
        <f t="shared" si="0"/>
        <v>11200</v>
      </c>
      <c r="I9" s="159">
        <f t="shared" si="0"/>
        <v>403.20000000000005</v>
      </c>
      <c r="J9" s="158"/>
    </row>
    <row r="10" spans="1:10" ht="16.5" customHeight="1"/>
    <row r="11" spans="1:10" ht="16.5" customHeight="1"/>
    <row r="12" spans="1:10" ht="16.5" customHeight="1"/>
    <row r="13" spans="1:10" ht="16.5" customHeight="1"/>
    <row r="14" spans="1:10" ht="16.5" customHeight="1"/>
    <row r="15" spans="1:10" ht="16.5" customHeight="1"/>
    <row r="16" spans="1:10"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sheetData>
  <mergeCells count="2">
    <mergeCell ref="A1:H1"/>
    <mergeCell ref="A2:I2"/>
  </mergeCells>
  <phoneticPr fontId="57" type="noConversion"/>
  <hyperlinks>
    <hyperlink ref="A1:H1" r:id="rId1" display="教育版支援的單位及範圍(規則)" xr:uid="{03959F1B-C347-5D4B-B2A2-114FF1DC7E86}"/>
    <hyperlink ref="I1" r:id="rId2" display="教育版支援的單位及範圍(規則)" xr:uid="{C10A3A91-E2F0-C648-A963-9B2D01768BE1}"/>
  </hyperlinks>
  <pageMargins left="0.25" right="0.25" top="0.75" bottom="0.75" header="0" footer="0"/>
  <pageSetup paperSize="9"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000"/>
  <sheetViews>
    <sheetView zoomScale="85" zoomScaleNormal="85" workbookViewId="0">
      <pane ySplit="1" topLeftCell="A15" activePane="bottomLeft" state="frozen"/>
      <selection pane="bottomLeft" activeCell="F20" sqref="F20"/>
    </sheetView>
  </sheetViews>
  <sheetFormatPr baseColWidth="10" defaultColWidth="11.140625" defaultRowHeight="15" customHeight="1"/>
  <cols>
    <col min="1" max="1" width="5.140625" style="31" customWidth="1"/>
    <col min="2" max="2" width="19.28515625" style="31" customWidth="1"/>
    <col min="3" max="3" width="100.85546875" style="31" customWidth="1"/>
    <col min="4" max="4" width="19.28515625" style="31" customWidth="1"/>
    <col min="5" max="27" width="6.85546875" style="31" customWidth="1"/>
    <col min="28" max="16384" width="11.140625" style="31"/>
  </cols>
  <sheetData>
    <row r="1" spans="1:27" ht="30" customHeight="1">
      <c r="A1" s="29" t="s">
        <v>324</v>
      </c>
      <c r="B1" s="29"/>
      <c r="C1" s="30"/>
      <c r="D1" s="30"/>
    </row>
    <row r="2" spans="1:27" s="51" customFormat="1" ht="18">
      <c r="A2" s="57" t="s">
        <v>117</v>
      </c>
      <c r="B2" s="57" t="s">
        <v>118</v>
      </c>
      <c r="C2" s="58" t="s">
        <v>119</v>
      </c>
      <c r="D2" s="58" t="s">
        <v>120</v>
      </c>
      <c r="E2" s="62"/>
      <c r="F2" s="62"/>
      <c r="G2" s="62"/>
      <c r="H2" s="62"/>
      <c r="I2" s="62"/>
      <c r="J2" s="62"/>
      <c r="K2" s="62"/>
      <c r="L2" s="62"/>
      <c r="M2" s="62"/>
      <c r="N2" s="62"/>
      <c r="O2" s="62"/>
      <c r="P2" s="62"/>
      <c r="Q2" s="62"/>
      <c r="R2" s="62"/>
      <c r="S2" s="62"/>
      <c r="T2" s="62"/>
      <c r="U2" s="62"/>
      <c r="V2" s="62"/>
      <c r="W2" s="62"/>
      <c r="X2" s="62"/>
      <c r="Y2" s="62"/>
      <c r="Z2" s="62"/>
      <c r="AA2" s="62"/>
    </row>
    <row r="3" spans="1:27" ht="35" thickBot="1">
      <c r="A3" s="73" t="s">
        <v>121</v>
      </c>
      <c r="B3" s="39" t="s">
        <v>122</v>
      </c>
      <c r="C3" s="74" t="s">
        <v>325</v>
      </c>
      <c r="D3" s="75" t="s">
        <v>123</v>
      </c>
      <c r="E3" s="32"/>
      <c r="F3" s="32"/>
      <c r="G3" s="32"/>
      <c r="H3" s="32"/>
      <c r="I3" s="32"/>
      <c r="J3" s="32"/>
      <c r="K3" s="32"/>
      <c r="L3" s="32"/>
      <c r="M3" s="32"/>
      <c r="N3" s="32"/>
      <c r="O3" s="32"/>
      <c r="P3" s="32"/>
      <c r="Q3" s="32"/>
      <c r="R3" s="32"/>
      <c r="S3" s="32"/>
      <c r="T3" s="32"/>
      <c r="U3" s="32"/>
      <c r="V3" s="32"/>
      <c r="W3" s="32"/>
      <c r="X3" s="32"/>
      <c r="Y3" s="32"/>
      <c r="Z3" s="32"/>
      <c r="AA3" s="32"/>
    </row>
    <row r="4" spans="1:27" ht="171" thickBot="1">
      <c r="A4" s="33" t="s">
        <v>88</v>
      </c>
      <c r="B4" s="40" t="s">
        <v>375</v>
      </c>
      <c r="C4" s="59" t="s">
        <v>407</v>
      </c>
      <c r="D4" s="34" t="s">
        <v>124</v>
      </c>
      <c r="E4" s="32"/>
      <c r="F4" s="32"/>
      <c r="G4" s="32"/>
      <c r="H4" s="32"/>
      <c r="I4" s="32"/>
      <c r="J4" s="32"/>
      <c r="K4" s="32"/>
      <c r="L4" s="32"/>
      <c r="M4" s="32"/>
      <c r="N4" s="32"/>
      <c r="O4" s="32"/>
      <c r="P4" s="32"/>
      <c r="Q4" s="32"/>
      <c r="R4" s="32"/>
      <c r="S4" s="32"/>
      <c r="T4" s="32"/>
      <c r="U4" s="32"/>
      <c r="V4" s="32"/>
      <c r="W4" s="32"/>
      <c r="X4" s="32"/>
      <c r="Y4" s="32"/>
      <c r="Z4" s="32"/>
      <c r="AA4" s="32"/>
    </row>
    <row r="5" spans="1:27" ht="35" thickBot="1">
      <c r="A5" s="73" t="s">
        <v>125</v>
      </c>
      <c r="B5" s="39" t="s">
        <v>126</v>
      </c>
      <c r="C5" s="74" t="s">
        <v>127</v>
      </c>
      <c r="D5" s="75" t="s">
        <v>128</v>
      </c>
      <c r="E5" s="32"/>
      <c r="F5" s="32"/>
      <c r="G5" s="32"/>
      <c r="H5" s="32"/>
      <c r="I5" s="32"/>
      <c r="J5" s="32"/>
      <c r="K5" s="32"/>
      <c r="L5" s="32"/>
      <c r="M5" s="32"/>
      <c r="N5" s="32"/>
      <c r="O5" s="32"/>
      <c r="P5" s="32"/>
      <c r="Q5" s="32"/>
      <c r="R5" s="32"/>
      <c r="S5" s="32"/>
      <c r="T5" s="32"/>
      <c r="U5" s="32"/>
      <c r="V5" s="32"/>
      <c r="W5" s="32"/>
      <c r="X5" s="32"/>
      <c r="Y5" s="32"/>
      <c r="Z5" s="32"/>
      <c r="AA5" s="32"/>
    </row>
    <row r="6" spans="1:27" ht="35" thickBot="1">
      <c r="A6" s="33" t="s">
        <v>129</v>
      </c>
      <c r="B6" s="40" t="s">
        <v>130</v>
      </c>
      <c r="C6" s="59" t="s">
        <v>131</v>
      </c>
      <c r="D6" s="34" t="s">
        <v>132</v>
      </c>
      <c r="E6" s="32"/>
      <c r="F6" s="32"/>
      <c r="G6" s="32"/>
      <c r="H6" s="32"/>
      <c r="I6" s="32"/>
      <c r="J6" s="32"/>
      <c r="K6" s="32"/>
      <c r="L6" s="32"/>
      <c r="M6" s="32"/>
      <c r="N6" s="32"/>
      <c r="O6" s="32"/>
      <c r="P6" s="32"/>
      <c r="Q6" s="32"/>
      <c r="R6" s="32"/>
      <c r="S6" s="32"/>
      <c r="T6" s="32"/>
      <c r="U6" s="32"/>
      <c r="V6" s="32"/>
      <c r="W6" s="32"/>
      <c r="X6" s="32"/>
      <c r="Y6" s="32"/>
      <c r="Z6" s="32"/>
      <c r="AA6" s="32"/>
    </row>
    <row r="7" spans="1:27" ht="52" thickBot="1">
      <c r="A7" s="73" t="s">
        <v>133</v>
      </c>
      <c r="B7" s="39" t="s">
        <v>134</v>
      </c>
      <c r="C7" s="74" t="s">
        <v>135</v>
      </c>
      <c r="D7" s="75" t="s">
        <v>136</v>
      </c>
      <c r="E7" s="32"/>
      <c r="F7" s="32"/>
      <c r="G7" s="32"/>
      <c r="H7" s="32"/>
      <c r="I7" s="32"/>
      <c r="J7" s="32"/>
      <c r="K7" s="32"/>
      <c r="L7" s="32"/>
      <c r="M7" s="32"/>
      <c r="N7" s="32"/>
      <c r="O7" s="32"/>
      <c r="P7" s="32"/>
      <c r="Q7" s="32"/>
      <c r="R7" s="32"/>
      <c r="S7" s="32"/>
      <c r="T7" s="32"/>
      <c r="U7" s="32"/>
      <c r="V7" s="32"/>
      <c r="W7" s="32"/>
      <c r="X7" s="32"/>
      <c r="Y7" s="32"/>
      <c r="Z7" s="32"/>
      <c r="AA7" s="32"/>
    </row>
    <row r="8" spans="1:27" ht="86" thickBot="1">
      <c r="A8" s="33" t="s">
        <v>137</v>
      </c>
      <c r="B8" s="38" t="s">
        <v>339</v>
      </c>
      <c r="C8" s="60" t="s">
        <v>354</v>
      </c>
      <c r="D8" s="34" t="s">
        <v>138</v>
      </c>
      <c r="E8" s="32"/>
      <c r="F8" s="32"/>
      <c r="G8" s="32"/>
      <c r="H8" s="32"/>
      <c r="I8" s="32"/>
      <c r="J8" s="32"/>
      <c r="K8" s="32"/>
      <c r="L8" s="32"/>
      <c r="M8" s="32"/>
      <c r="N8" s="32"/>
      <c r="O8" s="32"/>
      <c r="P8" s="32"/>
      <c r="Q8" s="32"/>
      <c r="R8" s="32"/>
      <c r="S8" s="32"/>
      <c r="T8" s="32"/>
      <c r="U8" s="32"/>
      <c r="V8" s="32"/>
      <c r="W8" s="32"/>
      <c r="X8" s="32"/>
      <c r="Y8" s="32"/>
      <c r="Z8" s="32"/>
      <c r="AA8" s="32"/>
    </row>
    <row r="9" spans="1:27" ht="35" thickBot="1">
      <c r="A9" s="73" t="s">
        <v>139</v>
      </c>
      <c r="B9" s="61" t="s">
        <v>342</v>
      </c>
      <c r="C9" s="74" t="s">
        <v>353</v>
      </c>
      <c r="D9" s="75" t="s">
        <v>140</v>
      </c>
      <c r="E9" s="32"/>
      <c r="F9" s="32"/>
      <c r="G9" s="32"/>
      <c r="H9" s="32"/>
      <c r="I9" s="32"/>
      <c r="J9" s="32"/>
      <c r="K9" s="32"/>
      <c r="L9" s="32"/>
      <c r="M9" s="32"/>
      <c r="N9" s="32"/>
      <c r="O9" s="32"/>
      <c r="P9" s="32"/>
      <c r="Q9" s="32"/>
      <c r="R9" s="32"/>
      <c r="S9" s="32"/>
      <c r="T9" s="32"/>
      <c r="U9" s="32"/>
      <c r="V9" s="32"/>
      <c r="W9" s="32"/>
      <c r="X9" s="32"/>
      <c r="Y9" s="32"/>
      <c r="Z9" s="32"/>
      <c r="AA9" s="32"/>
    </row>
    <row r="10" spans="1:27" ht="36" customHeight="1" thickBot="1">
      <c r="A10" s="33" t="s">
        <v>141</v>
      </c>
      <c r="B10" s="38" t="s">
        <v>341</v>
      </c>
      <c r="C10" s="60" t="s">
        <v>352</v>
      </c>
      <c r="D10" s="34" t="s">
        <v>142</v>
      </c>
      <c r="E10" s="32"/>
      <c r="F10" s="32"/>
      <c r="G10" s="32"/>
      <c r="H10" s="32"/>
      <c r="I10" s="32"/>
      <c r="J10" s="32"/>
      <c r="K10" s="32"/>
      <c r="L10" s="32"/>
      <c r="M10" s="32"/>
      <c r="N10" s="32"/>
      <c r="O10" s="32"/>
      <c r="P10" s="32"/>
      <c r="Q10" s="32"/>
      <c r="R10" s="32"/>
      <c r="S10" s="32"/>
      <c r="T10" s="32"/>
      <c r="U10" s="32"/>
      <c r="V10" s="32"/>
      <c r="W10" s="32"/>
      <c r="X10" s="32"/>
      <c r="Y10" s="32"/>
      <c r="Z10" s="32"/>
      <c r="AA10" s="32"/>
    </row>
    <row r="11" spans="1:27" ht="86" thickBot="1">
      <c r="A11" s="73" t="s">
        <v>143</v>
      </c>
      <c r="B11" s="39" t="s">
        <v>340</v>
      </c>
      <c r="C11" s="74" t="s">
        <v>351</v>
      </c>
      <c r="D11" s="75" t="s">
        <v>144</v>
      </c>
      <c r="E11" s="32"/>
      <c r="F11" s="32"/>
      <c r="G11" s="32"/>
      <c r="H11" s="32"/>
      <c r="I11" s="32"/>
      <c r="J11" s="32"/>
      <c r="K11" s="32"/>
      <c r="L11" s="32"/>
      <c r="M11" s="32"/>
      <c r="N11" s="32"/>
      <c r="O11" s="32"/>
      <c r="P11" s="32"/>
      <c r="Q11" s="32"/>
      <c r="R11" s="32"/>
      <c r="S11" s="32"/>
      <c r="T11" s="32"/>
      <c r="U11" s="32"/>
      <c r="V11" s="32"/>
      <c r="W11" s="32"/>
      <c r="X11" s="32"/>
      <c r="Y11" s="32"/>
      <c r="Z11" s="32"/>
      <c r="AA11" s="32"/>
    </row>
    <row r="12" spans="1:27" ht="86" thickBot="1">
      <c r="A12" s="33" t="s">
        <v>145</v>
      </c>
      <c r="B12" s="40" t="s">
        <v>343</v>
      </c>
      <c r="C12" s="59" t="s">
        <v>350</v>
      </c>
      <c r="D12" s="34" t="s">
        <v>146</v>
      </c>
      <c r="E12" s="32"/>
      <c r="F12" s="32"/>
      <c r="G12" s="32"/>
      <c r="H12" s="32"/>
      <c r="I12" s="32"/>
      <c r="J12" s="32"/>
      <c r="K12" s="32"/>
      <c r="L12" s="32"/>
      <c r="M12" s="32"/>
      <c r="N12" s="32"/>
      <c r="O12" s="32"/>
      <c r="P12" s="32"/>
      <c r="Q12" s="32"/>
      <c r="R12" s="32"/>
      <c r="S12" s="32"/>
      <c r="T12" s="32"/>
      <c r="U12" s="32"/>
      <c r="V12" s="32"/>
      <c r="W12" s="32"/>
      <c r="X12" s="32"/>
      <c r="Y12" s="32"/>
      <c r="Z12" s="32"/>
      <c r="AA12" s="32"/>
    </row>
    <row r="13" spans="1:27" ht="35" thickBot="1">
      <c r="A13" s="73" t="s">
        <v>147</v>
      </c>
      <c r="B13" s="39" t="s">
        <v>344</v>
      </c>
      <c r="C13" s="74" t="s">
        <v>349</v>
      </c>
      <c r="D13" s="75" t="s">
        <v>148</v>
      </c>
      <c r="E13" s="32"/>
      <c r="F13" s="32"/>
      <c r="G13" s="32"/>
      <c r="H13" s="32"/>
      <c r="I13" s="32"/>
      <c r="J13" s="32"/>
      <c r="K13" s="32"/>
      <c r="L13" s="32"/>
      <c r="M13" s="32"/>
      <c r="N13" s="32"/>
      <c r="O13" s="32"/>
      <c r="P13" s="32"/>
      <c r="Q13" s="32"/>
      <c r="R13" s="32"/>
      <c r="S13" s="32"/>
      <c r="T13" s="32"/>
      <c r="U13" s="32"/>
      <c r="V13" s="32"/>
      <c r="W13" s="32"/>
      <c r="X13" s="32"/>
      <c r="Y13" s="32"/>
      <c r="Z13" s="32"/>
      <c r="AA13" s="32"/>
    </row>
    <row r="14" spans="1:27" ht="69" thickBot="1">
      <c r="A14" s="33" t="s">
        <v>337</v>
      </c>
      <c r="B14" s="40" t="s">
        <v>345</v>
      </c>
      <c r="C14" s="59" t="s">
        <v>348</v>
      </c>
      <c r="D14" s="34" t="s">
        <v>338</v>
      </c>
      <c r="E14" s="32"/>
      <c r="F14" s="32"/>
      <c r="G14" s="32"/>
      <c r="H14" s="32"/>
      <c r="I14" s="32"/>
      <c r="J14" s="32"/>
      <c r="K14" s="32"/>
      <c r="L14" s="32"/>
      <c r="M14" s="32"/>
      <c r="N14" s="32"/>
      <c r="O14" s="32"/>
      <c r="P14" s="32"/>
      <c r="Q14" s="32"/>
      <c r="R14" s="32"/>
      <c r="S14" s="32"/>
      <c r="T14" s="32"/>
      <c r="U14" s="32"/>
      <c r="V14" s="32"/>
      <c r="W14" s="32"/>
      <c r="X14" s="32"/>
      <c r="Y14" s="32"/>
      <c r="Z14" s="32"/>
      <c r="AA14" s="32"/>
    </row>
    <row r="15" spans="1:27" ht="69" thickBot="1">
      <c r="A15" s="76" t="s">
        <v>151</v>
      </c>
      <c r="B15" s="39" t="s">
        <v>346</v>
      </c>
      <c r="C15" s="74" t="s">
        <v>347</v>
      </c>
      <c r="D15" s="75" t="s">
        <v>152</v>
      </c>
      <c r="E15" s="32"/>
      <c r="F15" s="32"/>
      <c r="G15" s="32"/>
      <c r="H15" s="32"/>
      <c r="I15" s="32"/>
      <c r="J15" s="32"/>
      <c r="K15" s="32"/>
      <c r="L15" s="32"/>
      <c r="M15" s="32"/>
      <c r="N15" s="32"/>
      <c r="O15" s="32"/>
      <c r="P15" s="32"/>
      <c r="Q15" s="32"/>
      <c r="R15" s="32"/>
      <c r="S15" s="32"/>
      <c r="T15" s="32"/>
      <c r="U15" s="32"/>
      <c r="V15" s="32"/>
      <c r="W15" s="32"/>
      <c r="X15" s="32"/>
      <c r="Y15" s="32"/>
      <c r="Z15" s="32"/>
      <c r="AA15" s="32"/>
    </row>
    <row r="16" spans="1:27" ht="16">
      <c r="A16" s="35"/>
      <c r="B16" s="35"/>
      <c r="C16" s="36"/>
      <c r="D16" s="36"/>
      <c r="E16" s="32"/>
      <c r="F16" s="32"/>
      <c r="G16" s="32"/>
      <c r="H16" s="32"/>
      <c r="I16" s="32"/>
      <c r="J16" s="32"/>
      <c r="K16" s="32"/>
      <c r="L16" s="32"/>
      <c r="M16" s="32"/>
      <c r="N16" s="32"/>
      <c r="O16" s="32"/>
      <c r="P16" s="32"/>
      <c r="Q16" s="32"/>
      <c r="R16" s="32"/>
      <c r="S16" s="32"/>
      <c r="T16" s="32"/>
      <c r="U16" s="32"/>
      <c r="V16" s="32"/>
      <c r="W16" s="32"/>
      <c r="X16" s="32"/>
      <c r="Y16" s="32"/>
      <c r="Z16" s="32"/>
      <c r="AA16" s="32"/>
    </row>
    <row r="17" spans="1:4" customFormat="1" ht="38" thickBot="1">
      <c r="A17" s="3" t="s">
        <v>326</v>
      </c>
      <c r="B17" s="3"/>
      <c r="C17" s="24"/>
      <c r="D17" s="24"/>
    </row>
    <row r="18" spans="1:4" customFormat="1" ht="16">
      <c r="A18" s="25" t="s">
        <v>153</v>
      </c>
      <c r="B18" s="25" t="s">
        <v>154</v>
      </c>
      <c r="C18" s="26" t="s">
        <v>155</v>
      </c>
      <c r="D18" s="26" t="s">
        <v>156</v>
      </c>
    </row>
    <row r="19" spans="1:4" customFormat="1" ht="31" thickBot="1">
      <c r="A19" s="77" t="s">
        <v>121</v>
      </c>
      <c r="B19" s="41" t="s">
        <v>157</v>
      </c>
      <c r="C19" s="78" t="s">
        <v>327</v>
      </c>
      <c r="D19" s="42" t="s">
        <v>123</v>
      </c>
    </row>
    <row r="20" spans="1:4" customFormat="1" ht="166" thickBot="1">
      <c r="A20" s="27" t="s">
        <v>88</v>
      </c>
      <c r="B20" s="7" t="s">
        <v>376</v>
      </c>
      <c r="C20" s="28" t="s">
        <v>408</v>
      </c>
      <c r="D20" s="8" t="s">
        <v>124</v>
      </c>
    </row>
    <row r="21" spans="1:4" customFormat="1" ht="31" thickBot="1">
      <c r="A21" s="77" t="s">
        <v>125</v>
      </c>
      <c r="B21" s="41" t="s">
        <v>158</v>
      </c>
      <c r="C21" s="78" t="s">
        <v>159</v>
      </c>
      <c r="D21" s="42" t="s">
        <v>128</v>
      </c>
    </row>
    <row r="22" spans="1:4" customFormat="1" ht="31" thickBot="1">
      <c r="A22" s="27" t="s">
        <v>129</v>
      </c>
      <c r="B22" s="7" t="s">
        <v>160</v>
      </c>
      <c r="C22" s="28" t="s">
        <v>161</v>
      </c>
      <c r="D22" s="8" t="s">
        <v>132</v>
      </c>
    </row>
    <row r="23" spans="1:4" customFormat="1" ht="31" thickBot="1">
      <c r="A23" s="77" t="s">
        <v>133</v>
      </c>
      <c r="B23" s="41" t="s">
        <v>162</v>
      </c>
      <c r="C23" s="78" t="s">
        <v>163</v>
      </c>
      <c r="D23" s="42" t="s">
        <v>136</v>
      </c>
    </row>
    <row r="24" spans="1:4" customFormat="1" ht="76" thickBot="1">
      <c r="A24" s="27" t="s">
        <v>137</v>
      </c>
      <c r="B24" s="8" t="s">
        <v>355</v>
      </c>
      <c r="C24" s="28" t="s">
        <v>328</v>
      </c>
      <c r="D24" s="8" t="s">
        <v>138</v>
      </c>
    </row>
    <row r="25" spans="1:4" customFormat="1" ht="46" thickBot="1">
      <c r="A25" s="77" t="s">
        <v>139</v>
      </c>
      <c r="B25" s="42" t="s">
        <v>356</v>
      </c>
      <c r="C25" s="78" t="s">
        <v>329</v>
      </c>
      <c r="D25" s="42" t="s">
        <v>140</v>
      </c>
    </row>
    <row r="26" spans="1:4" customFormat="1" ht="46" thickBot="1">
      <c r="A26" s="27" t="s">
        <v>141</v>
      </c>
      <c r="B26" s="8" t="s">
        <v>357</v>
      </c>
      <c r="C26" s="28" t="s">
        <v>330</v>
      </c>
      <c r="D26" s="8" t="s">
        <v>142</v>
      </c>
    </row>
    <row r="27" spans="1:4" customFormat="1" ht="91" thickBot="1">
      <c r="A27" s="77" t="s">
        <v>143</v>
      </c>
      <c r="B27" s="42" t="s">
        <v>358</v>
      </c>
      <c r="C27" s="78" t="s">
        <v>331</v>
      </c>
      <c r="D27" s="42" t="s">
        <v>144</v>
      </c>
    </row>
    <row r="28" spans="1:4" customFormat="1" ht="106" thickBot="1">
      <c r="A28" s="27" t="s">
        <v>145</v>
      </c>
      <c r="B28" s="8" t="s">
        <v>359</v>
      </c>
      <c r="C28" s="28" t="s">
        <v>332</v>
      </c>
      <c r="D28" s="8" t="s">
        <v>146</v>
      </c>
    </row>
    <row r="29" spans="1:4" customFormat="1" ht="46" thickBot="1">
      <c r="A29" s="77" t="s">
        <v>147</v>
      </c>
      <c r="B29" s="42" t="s">
        <v>360</v>
      </c>
      <c r="C29" s="78" t="s">
        <v>333</v>
      </c>
      <c r="D29" s="42" t="s">
        <v>148</v>
      </c>
    </row>
    <row r="30" spans="1:4" customFormat="1" ht="76" thickBot="1">
      <c r="A30" s="27" t="s">
        <v>149</v>
      </c>
      <c r="B30" s="8" t="s">
        <v>361</v>
      </c>
      <c r="C30" s="28" t="s">
        <v>334</v>
      </c>
      <c r="D30" s="8" t="s">
        <v>150</v>
      </c>
    </row>
    <row r="31" spans="1:4" customFormat="1" ht="106" thickBot="1">
      <c r="A31" s="76" t="s">
        <v>151</v>
      </c>
      <c r="B31" s="42" t="s">
        <v>362</v>
      </c>
      <c r="C31" s="78" t="s">
        <v>335</v>
      </c>
      <c r="D31" s="75" t="s">
        <v>152</v>
      </c>
    </row>
    <row r="32" spans="1:4" ht="16">
      <c r="A32" s="37"/>
      <c r="B32" s="37"/>
      <c r="C32" s="30"/>
      <c r="D32" s="30"/>
    </row>
    <row r="33" spans="1:4" ht="16">
      <c r="A33" s="37"/>
      <c r="B33" s="37"/>
      <c r="C33" s="30"/>
      <c r="D33" s="30"/>
    </row>
    <row r="34" spans="1:4" ht="16">
      <c r="A34" s="37"/>
      <c r="B34" s="37"/>
      <c r="C34" s="30"/>
      <c r="D34" s="30"/>
    </row>
    <row r="35" spans="1:4" ht="16">
      <c r="A35" s="37"/>
      <c r="B35" s="37"/>
      <c r="C35" s="30"/>
      <c r="D35" s="30"/>
    </row>
    <row r="36" spans="1:4" ht="16">
      <c r="A36" s="37"/>
      <c r="B36" s="37"/>
      <c r="C36" s="30"/>
      <c r="D36" s="30"/>
    </row>
    <row r="37" spans="1:4" ht="16">
      <c r="A37" s="37"/>
      <c r="B37" s="37"/>
      <c r="C37" s="30"/>
      <c r="D37" s="30"/>
    </row>
    <row r="38" spans="1:4" ht="16">
      <c r="A38" s="37"/>
      <c r="B38" s="37"/>
      <c r="C38" s="30"/>
      <c r="D38" s="30"/>
    </row>
    <row r="39" spans="1:4" ht="16">
      <c r="A39" s="37"/>
      <c r="B39" s="37"/>
      <c r="C39" s="30"/>
      <c r="D39" s="30"/>
    </row>
    <row r="40" spans="1:4" ht="16">
      <c r="A40" s="37"/>
      <c r="B40" s="37"/>
      <c r="C40" s="30"/>
      <c r="D40" s="30"/>
    </row>
    <row r="41" spans="1:4" ht="16">
      <c r="A41" s="37"/>
      <c r="B41" s="37"/>
      <c r="C41" s="30"/>
      <c r="D41" s="30"/>
    </row>
    <row r="42" spans="1:4" ht="16">
      <c r="A42" s="37"/>
      <c r="B42" s="37"/>
      <c r="C42" s="30"/>
      <c r="D42" s="30"/>
    </row>
    <row r="43" spans="1:4" ht="16">
      <c r="A43" s="37"/>
      <c r="B43" s="37"/>
      <c r="C43" s="30"/>
      <c r="D43" s="30"/>
    </row>
    <row r="44" spans="1:4" ht="16">
      <c r="A44" s="37"/>
      <c r="B44" s="37"/>
      <c r="C44" s="30"/>
      <c r="D44" s="30"/>
    </row>
    <row r="45" spans="1:4" ht="16">
      <c r="A45" s="37"/>
      <c r="B45" s="37"/>
      <c r="C45" s="30"/>
      <c r="D45" s="30"/>
    </row>
    <row r="46" spans="1:4" ht="16">
      <c r="A46" s="37"/>
      <c r="B46" s="37"/>
      <c r="C46" s="30"/>
      <c r="D46" s="30"/>
    </row>
    <row r="47" spans="1:4" ht="16">
      <c r="A47" s="37"/>
      <c r="B47" s="37"/>
      <c r="C47" s="30"/>
      <c r="D47" s="30"/>
    </row>
    <row r="48" spans="1:4" ht="16">
      <c r="A48" s="37"/>
      <c r="B48" s="37"/>
      <c r="C48" s="30"/>
      <c r="D48" s="30"/>
    </row>
    <row r="49" spans="1:4" ht="16">
      <c r="A49" s="37"/>
      <c r="B49" s="37"/>
      <c r="C49" s="30"/>
      <c r="D49" s="30"/>
    </row>
    <row r="50" spans="1:4" ht="16">
      <c r="A50" s="37"/>
      <c r="B50" s="37"/>
      <c r="C50" s="30"/>
      <c r="D50" s="30"/>
    </row>
    <row r="51" spans="1:4" ht="16">
      <c r="A51" s="37"/>
      <c r="B51" s="37"/>
      <c r="C51" s="30"/>
      <c r="D51" s="30"/>
    </row>
    <row r="52" spans="1:4" ht="16">
      <c r="A52" s="37"/>
      <c r="B52" s="37"/>
      <c r="C52" s="30"/>
      <c r="D52" s="30"/>
    </row>
    <row r="53" spans="1:4" ht="16">
      <c r="A53" s="37"/>
      <c r="B53" s="37"/>
      <c r="C53" s="30"/>
      <c r="D53" s="30"/>
    </row>
    <row r="54" spans="1:4" ht="16">
      <c r="A54" s="37"/>
      <c r="B54" s="37"/>
      <c r="C54" s="30"/>
      <c r="D54" s="30"/>
    </row>
    <row r="55" spans="1:4" ht="16">
      <c r="A55" s="37"/>
      <c r="B55" s="37"/>
      <c r="C55" s="30"/>
      <c r="D55" s="30"/>
    </row>
    <row r="56" spans="1:4" ht="16">
      <c r="A56" s="37"/>
      <c r="B56" s="37"/>
      <c r="C56" s="30"/>
      <c r="D56" s="30"/>
    </row>
    <row r="57" spans="1:4" ht="16">
      <c r="A57" s="37"/>
      <c r="B57" s="37"/>
      <c r="C57" s="30"/>
      <c r="D57" s="30"/>
    </row>
    <row r="58" spans="1:4" ht="16">
      <c r="A58" s="37"/>
      <c r="B58" s="37"/>
      <c r="C58" s="30"/>
      <c r="D58" s="30"/>
    </row>
    <row r="59" spans="1:4" ht="16">
      <c r="A59" s="37"/>
      <c r="B59" s="37"/>
      <c r="C59" s="30"/>
      <c r="D59" s="30"/>
    </row>
    <row r="60" spans="1:4" ht="16">
      <c r="A60" s="37"/>
      <c r="B60" s="37"/>
      <c r="C60" s="30"/>
      <c r="D60" s="30"/>
    </row>
    <row r="61" spans="1:4" ht="16">
      <c r="A61" s="37"/>
      <c r="B61" s="37"/>
      <c r="C61" s="30"/>
      <c r="D61" s="30"/>
    </row>
    <row r="62" spans="1:4" ht="16">
      <c r="A62" s="37"/>
      <c r="B62" s="37"/>
      <c r="C62" s="30"/>
      <c r="D62" s="30"/>
    </row>
    <row r="63" spans="1:4" ht="16">
      <c r="A63" s="37"/>
      <c r="B63" s="37"/>
      <c r="C63" s="30"/>
      <c r="D63" s="30"/>
    </row>
    <row r="64" spans="1:4" ht="16">
      <c r="A64" s="37"/>
      <c r="B64" s="37"/>
      <c r="C64" s="30"/>
      <c r="D64" s="30"/>
    </row>
    <row r="65" spans="1:4" ht="16">
      <c r="A65" s="37"/>
      <c r="B65" s="37"/>
      <c r="C65" s="30"/>
      <c r="D65" s="30"/>
    </row>
    <row r="66" spans="1:4" ht="16">
      <c r="A66" s="37"/>
      <c r="B66" s="37"/>
      <c r="C66" s="30"/>
      <c r="D66" s="30"/>
    </row>
    <row r="67" spans="1:4" ht="16">
      <c r="A67" s="37"/>
      <c r="B67" s="37"/>
      <c r="C67" s="30"/>
      <c r="D67" s="30"/>
    </row>
    <row r="68" spans="1:4" ht="16">
      <c r="A68" s="37"/>
      <c r="B68" s="37"/>
      <c r="C68" s="30"/>
      <c r="D68" s="30"/>
    </row>
    <row r="69" spans="1:4" ht="16">
      <c r="A69" s="37"/>
      <c r="B69" s="37"/>
      <c r="C69" s="30"/>
      <c r="D69" s="30"/>
    </row>
    <row r="70" spans="1:4" ht="16">
      <c r="A70" s="37"/>
      <c r="B70" s="37"/>
      <c r="C70" s="30"/>
      <c r="D70" s="30"/>
    </row>
    <row r="71" spans="1:4" ht="16">
      <c r="A71" s="37"/>
      <c r="B71" s="37"/>
      <c r="C71" s="30"/>
      <c r="D71" s="30"/>
    </row>
    <row r="72" spans="1:4" ht="16">
      <c r="A72" s="37"/>
      <c r="B72" s="37"/>
      <c r="C72" s="30"/>
      <c r="D72" s="30"/>
    </row>
    <row r="73" spans="1:4" ht="16">
      <c r="A73" s="37"/>
      <c r="B73" s="37"/>
      <c r="C73" s="30"/>
      <c r="D73" s="30"/>
    </row>
    <row r="74" spans="1:4" ht="16">
      <c r="A74" s="37"/>
      <c r="B74" s="37"/>
      <c r="C74" s="30"/>
      <c r="D74" s="30"/>
    </row>
    <row r="75" spans="1:4" ht="16">
      <c r="A75" s="37"/>
      <c r="B75" s="37"/>
      <c r="C75" s="30"/>
      <c r="D75" s="30"/>
    </row>
    <row r="76" spans="1:4" ht="16">
      <c r="A76" s="37"/>
      <c r="B76" s="37"/>
      <c r="C76" s="30"/>
      <c r="D76" s="30"/>
    </row>
    <row r="77" spans="1:4" ht="16">
      <c r="A77" s="37"/>
      <c r="B77" s="37"/>
      <c r="C77" s="30"/>
      <c r="D77" s="30"/>
    </row>
    <row r="78" spans="1:4" ht="16">
      <c r="A78" s="37"/>
      <c r="B78" s="37"/>
      <c r="C78" s="30"/>
      <c r="D78" s="30"/>
    </row>
    <row r="79" spans="1:4" ht="16">
      <c r="A79" s="37"/>
      <c r="B79" s="37"/>
      <c r="C79" s="30"/>
      <c r="D79" s="30"/>
    </row>
    <row r="80" spans="1:4" ht="16">
      <c r="A80" s="37"/>
      <c r="B80" s="37"/>
      <c r="C80" s="30"/>
      <c r="D80" s="30"/>
    </row>
    <row r="81" spans="1:4" ht="16">
      <c r="A81" s="37"/>
      <c r="B81" s="37"/>
      <c r="C81" s="30"/>
      <c r="D81" s="30"/>
    </row>
    <row r="82" spans="1:4" ht="16">
      <c r="A82" s="37"/>
      <c r="B82" s="37"/>
      <c r="C82" s="30"/>
      <c r="D82" s="30"/>
    </row>
    <row r="83" spans="1:4" ht="16">
      <c r="A83" s="37"/>
      <c r="B83" s="37"/>
      <c r="C83" s="30"/>
      <c r="D83" s="30"/>
    </row>
    <row r="84" spans="1:4" ht="16">
      <c r="A84" s="37"/>
      <c r="B84" s="37"/>
      <c r="C84" s="30"/>
      <c r="D84" s="30"/>
    </row>
    <row r="85" spans="1:4" ht="16">
      <c r="A85" s="37"/>
      <c r="B85" s="37"/>
      <c r="C85" s="30"/>
      <c r="D85" s="30"/>
    </row>
    <row r="86" spans="1:4" ht="16">
      <c r="A86" s="37"/>
      <c r="B86" s="37"/>
      <c r="C86" s="30"/>
      <c r="D86" s="30"/>
    </row>
    <row r="87" spans="1:4" ht="16">
      <c r="A87" s="37"/>
      <c r="B87" s="37"/>
      <c r="C87" s="30"/>
      <c r="D87" s="30"/>
    </row>
    <row r="88" spans="1:4" ht="16">
      <c r="A88" s="37"/>
      <c r="B88" s="37"/>
      <c r="C88" s="30"/>
      <c r="D88" s="30"/>
    </row>
    <row r="89" spans="1:4" ht="16">
      <c r="A89" s="37"/>
      <c r="B89" s="37"/>
      <c r="C89" s="30"/>
      <c r="D89" s="30"/>
    </row>
    <row r="90" spans="1:4" ht="16">
      <c r="A90" s="37"/>
      <c r="B90" s="37"/>
      <c r="C90" s="30"/>
      <c r="D90" s="30"/>
    </row>
    <row r="91" spans="1:4" ht="16">
      <c r="A91" s="37"/>
      <c r="B91" s="37"/>
      <c r="C91" s="30"/>
      <c r="D91" s="30"/>
    </row>
    <row r="92" spans="1:4" ht="16">
      <c r="A92" s="37"/>
      <c r="B92" s="37"/>
      <c r="C92" s="30"/>
      <c r="D92" s="30"/>
    </row>
    <row r="93" spans="1:4" ht="16">
      <c r="A93" s="37"/>
      <c r="B93" s="37"/>
      <c r="C93" s="30"/>
      <c r="D93" s="30"/>
    </row>
    <row r="94" spans="1:4" ht="16">
      <c r="A94" s="37"/>
      <c r="B94" s="37"/>
      <c r="C94" s="30"/>
      <c r="D94" s="30"/>
    </row>
    <row r="95" spans="1:4" ht="16">
      <c r="A95" s="37"/>
      <c r="B95" s="37"/>
      <c r="C95" s="30"/>
      <c r="D95" s="30"/>
    </row>
    <row r="96" spans="1:4" ht="16">
      <c r="A96" s="37"/>
      <c r="B96" s="37"/>
      <c r="C96" s="30"/>
      <c r="D96" s="30"/>
    </row>
    <row r="97" spans="1:4" ht="16">
      <c r="A97" s="37"/>
      <c r="B97" s="37"/>
      <c r="C97" s="30"/>
      <c r="D97" s="30"/>
    </row>
    <row r="98" spans="1:4" ht="16">
      <c r="A98" s="37"/>
      <c r="B98" s="37"/>
      <c r="C98" s="30"/>
      <c r="D98" s="30"/>
    </row>
    <row r="99" spans="1:4" ht="16">
      <c r="A99" s="37"/>
      <c r="B99" s="37"/>
      <c r="C99" s="30"/>
      <c r="D99" s="30"/>
    </row>
    <row r="100" spans="1:4" ht="16">
      <c r="A100" s="37"/>
      <c r="B100" s="37"/>
      <c r="C100" s="30"/>
      <c r="D100" s="30"/>
    </row>
    <row r="101" spans="1:4" ht="16">
      <c r="A101" s="37"/>
      <c r="B101" s="37"/>
      <c r="C101" s="30"/>
      <c r="D101" s="30"/>
    </row>
    <row r="102" spans="1:4" ht="16">
      <c r="A102" s="37"/>
      <c r="B102" s="37"/>
      <c r="C102" s="30"/>
      <c r="D102" s="30"/>
    </row>
    <row r="103" spans="1:4" ht="16">
      <c r="A103" s="37"/>
      <c r="B103" s="37"/>
      <c r="C103" s="30"/>
      <c r="D103" s="30"/>
    </row>
    <row r="104" spans="1:4" ht="16">
      <c r="A104" s="37"/>
      <c r="B104" s="37"/>
      <c r="C104" s="30"/>
      <c r="D104" s="30"/>
    </row>
    <row r="105" spans="1:4" ht="16">
      <c r="A105" s="37"/>
      <c r="B105" s="37"/>
      <c r="C105" s="30"/>
      <c r="D105" s="30"/>
    </row>
    <row r="106" spans="1:4" ht="16">
      <c r="A106" s="37"/>
      <c r="B106" s="37"/>
      <c r="C106" s="30"/>
      <c r="D106" s="30"/>
    </row>
    <row r="107" spans="1:4" ht="16">
      <c r="A107" s="37"/>
      <c r="B107" s="37"/>
      <c r="C107" s="30"/>
      <c r="D107" s="30"/>
    </row>
    <row r="108" spans="1:4" ht="16">
      <c r="A108" s="37"/>
      <c r="B108" s="37"/>
      <c r="C108" s="30"/>
      <c r="D108" s="30"/>
    </row>
    <row r="109" spans="1:4" ht="16">
      <c r="A109" s="37"/>
      <c r="B109" s="37"/>
      <c r="C109" s="30"/>
      <c r="D109" s="30"/>
    </row>
    <row r="110" spans="1:4" ht="16">
      <c r="A110" s="37"/>
      <c r="B110" s="37"/>
      <c r="C110" s="30"/>
      <c r="D110" s="30"/>
    </row>
    <row r="111" spans="1:4" ht="16">
      <c r="A111" s="37"/>
      <c r="B111" s="37"/>
      <c r="C111" s="30"/>
      <c r="D111" s="30"/>
    </row>
    <row r="112" spans="1:4" ht="16">
      <c r="A112" s="37"/>
      <c r="B112" s="37"/>
      <c r="C112" s="30"/>
      <c r="D112" s="30"/>
    </row>
    <row r="113" spans="1:4" ht="16">
      <c r="A113" s="37"/>
      <c r="B113" s="37"/>
      <c r="C113" s="30"/>
      <c r="D113" s="30"/>
    </row>
    <row r="114" spans="1:4" ht="16">
      <c r="A114" s="37"/>
      <c r="B114" s="37"/>
      <c r="C114" s="30"/>
      <c r="D114" s="30"/>
    </row>
    <row r="115" spans="1:4" ht="16">
      <c r="A115" s="37"/>
      <c r="B115" s="37"/>
      <c r="C115" s="30"/>
      <c r="D115" s="30"/>
    </row>
    <row r="116" spans="1:4" ht="16">
      <c r="A116" s="37"/>
      <c r="B116" s="37"/>
      <c r="C116" s="30"/>
      <c r="D116" s="30"/>
    </row>
    <row r="117" spans="1:4" ht="16">
      <c r="A117" s="37"/>
      <c r="B117" s="37"/>
      <c r="C117" s="30"/>
      <c r="D117" s="30"/>
    </row>
    <row r="118" spans="1:4" ht="16">
      <c r="A118" s="37"/>
      <c r="B118" s="37"/>
      <c r="C118" s="30"/>
      <c r="D118" s="30"/>
    </row>
    <row r="119" spans="1:4" ht="16">
      <c r="A119" s="37"/>
      <c r="B119" s="37"/>
      <c r="C119" s="30"/>
      <c r="D119" s="30"/>
    </row>
    <row r="120" spans="1:4" ht="16">
      <c r="A120" s="37"/>
      <c r="B120" s="37"/>
      <c r="C120" s="30"/>
      <c r="D120" s="30"/>
    </row>
    <row r="121" spans="1:4" ht="16">
      <c r="A121" s="37"/>
      <c r="B121" s="37"/>
      <c r="C121" s="30"/>
      <c r="D121" s="30"/>
    </row>
    <row r="122" spans="1:4" ht="16">
      <c r="A122" s="37"/>
      <c r="B122" s="37"/>
      <c r="C122" s="30"/>
      <c r="D122" s="30"/>
    </row>
    <row r="123" spans="1:4" ht="16">
      <c r="A123" s="37"/>
      <c r="B123" s="37"/>
      <c r="C123" s="30"/>
      <c r="D123" s="30"/>
    </row>
    <row r="124" spans="1:4" ht="16">
      <c r="A124" s="37"/>
      <c r="B124" s="37"/>
      <c r="C124" s="30"/>
      <c r="D124" s="30"/>
    </row>
    <row r="125" spans="1:4" ht="16">
      <c r="A125" s="37"/>
      <c r="B125" s="37"/>
      <c r="C125" s="30"/>
      <c r="D125" s="30"/>
    </row>
    <row r="126" spans="1:4" ht="16">
      <c r="A126" s="37"/>
      <c r="B126" s="37"/>
      <c r="C126" s="30"/>
      <c r="D126" s="30"/>
    </row>
    <row r="127" spans="1:4" ht="16">
      <c r="A127" s="37"/>
      <c r="B127" s="37"/>
      <c r="C127" s="30"/>
      <c r="D127" s="30"/>
    </row>
    <row r="128" spans="1:4" ht="16">
      <c r="A128" s="37"/>
      <c r="B128" s="37"/>
      <c r="C128" s="30"/>
      <c r="D128" s="30"/>
    </row>
    <row r="129" spans="1:4" ht="16">
      <c r="A129" s="37"/>
      <c r="B129" s="37"/>
      <c r="C129" s="30"/>
      <c r="D129" s="30"/>
    </row>
    <row r="130" spans="1:4" ht="16">
      <c r="A130" s="37"/>
      <c r="B130" s="37"/>
      <c r="C130" s="30"/>
      <c r="D130" s="30"/>
    </row>
    <row r="131" spans="1:4" ht="16">
      <c r="A131" s="37"/>
      <c r="B131" s="37"/>
      <c r="C131" s="30"/>
      <c r="D131" s="30"/>
    </row>
    <row r="132" spans="1:4" ht="16">
      <c r="A132" s="37"/>
      <c r="B132" s="37"/>
      <c r="C132" s="30"/>
      <c r="D132" s="30"/>
    </row>
    <row r="133" spans="1:4" ht="16">
      <c r="A133" s="37"/>
      <c r="B133" s="37"/>
      <c r="C133" s="30"/>
      <c r="D133" s="30"/>
    </row>
    <row r="134" spans="1:4" ht="16">
      <c r="A134" s="37"/>
      <c r="B134" s="37"/>
      <c r="C134" s="30"/>
      <c r="D134" s="30"/>
    </row>
    <row r="135" spans="1:4" ht="16">
      <c r="A135" s="37"/>
      <c r="B135" s="37"/>
      <c r="C135" s="30"/>
      <c r="D135" s="30"/>
    </row>
    <row r="136" spans="1:4" ht="16">
      <c r="A136" s="37"/>
      <c r="B136" s="37"/>
      <c r="C136" s="30"/>
      <c r="D136" s="30"/>
    </row>
    <row r="137" spans="1:4" ht="16">
      <c r="A137" s="37"/>
      <c r="B137" s="37"/>
      <c r="C137" s="30"/>
      <c r="D137" s="30"/>
    </row>
    <row r="138" spans="1:4" ht="16">
      <c r="A138" s="37"/>
      <c r="B138" s="37"/>
      <c r="C138" s="30"/>
      <c r="D138" s="30"/>
    </row>
    <row r="139" spans="1:4" ht="16">
      <c r="A139" s="37"/>
      <c r="B139" s="37"/>
      <c r="C139" s="30"/>
      <c r="D139" s="30"/>
    </row>
    <row r="140" spans="1:4" ht="16">
      <c r="A140" s="37"/>
      <c r="B140" s="37"/>
      <c r="C140" s="30"/>
      <c r="D140" s="30"/>
    </row>
    <row r="141" spans="1:4" ht="16">
      <c r="A141" s="37"/>
      <c r="B141" s="37"/>
      <c r="C141" s="30"/>
      <c r="D141" s="30"/>
    </row>
    <row r="142" spans="1:4" ht="16">
      <c r="A142" s="37"/>
      <c r="B142" s="37"/>
      <c r="C142" s="30"/>
      <c r="D142" s="30"/>
    </row>
    <row r="143" spans="1:4" ht="16">
      <c r="A143" s="37"/>
      <c r="B143" s="37"/>
      <c r="C143" s="30"/>
      <c r="D143" s="30"/>
    </row>
    <row r="144" spans="1:4" ht="16">
      <c r="A144" s="37"/>
      <c r="B144" s="37"/>
      <c r="C144" s="30"/>
      <c r="D144" s="30"/>
    </row>
    <row r="145" spans="1:4" ht="16">
      <c r="A145" s="37"/>
      <c r="B145" s="37"/>
      <c r="C145" s="30"/>
      <c r="D145" s="30"/>
    </row>
    <row r="146" spans="1:4" ht="16">
      <c r="A146" s="37"/>
      <c r="B146" s="37"/>
      <c r="C146" s="30"/>
      <c r="D146" s="30"/>
    </row>
    <row r="147" spans="1:4" ht="16">
      <c r="A147" s="37"/>
      <c r="B147" s="37"/>
      <c r="C147" s="30"/>
      <c r="D147" s="30"/>
    </row>
    <row r="148" spans="1:4" ht="16">
      <c r="A148" s="37"/>
      <c r="B148" s="37"/>
      <c r="C148" s="30"/>
      <c r="D148" s="30"/>
    </row>
    <row r="149" spans="1:4" ht="16">
      <c r="A149" s="37"/>
      <c r="B149" s="37"/>
      <c r="C149" s="30"/>
      <c r="D149" s="30"/>
    </row>
    <row r="150" spans="1:4" ht="16">
      <c r="A150" s="37"/>
      <c r="B150" s="37"/>
      <c r="C150" s="30"/>
      <c r="D150" s="30"/>
    </row>
    <row r="151" spans="1:4" ht="16">
      <c r="A151" s="37"/>
      <c r="B151" s="37"/>
      <c r="C151" s="30"/>
      <c r="D151" s="30"/>
    </row>
    <row r="152" spans="1:4" ht="16">
      <c r="A152" s="37"/>
      <c r="B152" s="37"/>
      <c r="C152" s="30"/>
      <c r="D152" s="30"/>
    </row>
    <row r="153" spans="1:4" ht="16">
      <c r="A153" s="37"/>
      <c r="B153" s="37"/>
      <c r="C153" s="30"/>
      <c r="D153" s="30"/>
    </row>
    <row r="154" spans="1:4" ht="16">
      <c r="A154" s="37"/>
      <c r="B154" s="37"/>
      <c r="C154" s="30"/>
      <c r="D154" s="30"/>
    </row>
    <row r="155" spans="1:4" ht="16">
      <c r="A155" s="37"/>
      <c r="B155" s="37"/>
      <c r="C155" s="30"/>
      <c r="D155" s="30"/>
    </row>
    <row r="156" spans="1:4" ht="16">
      <c r="A156" s="37"/>
      <c r="B156" s="37"/>
      <c r="C156" s="30"/>
      <c r="D156" s="30"/>
    </row>
    <row r="157" spans="1:4" ht="16">
      <c r="A157" s="37"/>
      <c r="B157" s="37"/>
      <c r="C157" s="30"/>
      <c r="D157" s="30"/>
    </row>
    <row r="158" spans="1:4" ht="16">
      <c r="A158" s="37"/>
      <c r="B158" s="37"/>
      <c r="C158" s="30"/>
      <c r="D158" s="30"/>
    </row>
    <row r="159" spans="1:4" ht="16">
      <c r="A159" s="37"/>
      <c r="B159" s="37"/>
      <c r="C159" s="30"/>
      <c r="D159" s="30"/>
    </row>
    <row r="160" spans="1:4" ht="16">
      <c r="A160" s="37"/>
      <c r="B160" s="37"/>
      <c r="C160" s="30"/>
      <c r="D160" s="30"/>
    </row>
    <row r="161" spans="1:4" ht="16">
      <c r="A161" s="37"/>
      <c r="B161" s="37"/>
      <c r="C161" s="30"/>
      <c r="D161" s="30"/>
    </row>
    <row r="162" spans="1:4" ht="16">
      <c r="A162" s="37"/>
      <c r="B162" s="37"/>
      <c r="C162" s="30"/>
      <c r="D162" s="30"/>
    </row>
    <row r="163" spans="1:4" ht="16">
      <c r="A163" s="37"/>
      <c r="B163" s="37"/>
      <c r="C163" s="30"/>
      <c r="D163" s="30"/>
    </row>
    <row r="164" spans="1:4" ht="16">
      <c r="A164" s="37"/>
      <c r="B164" s="37"/>
      <c r="C164" s="30"/>
      <c r="D164" s="30"/>
    </row>
    <row r="165" spans="1:4" ht="16">
      <c r="A165" s="37"/>
      <c r="B165" s="37"/>
      <c r="C165" s="30"/>
      <c r="D165" s="30"/>
    </row>
    <row r="166" spans="1:4" ht="16">
      <c r="A166" s="37"/>
      <c r="B166" s="37"/>
      <c r="C166" s="30"/>
      <c r="D166" s="30"/>
    </row>
    <row r="167" spans="1:4" ht="16">
      <c r="A167" s="37"/>
      <c r="B167" s="37"/>
      <c r="C167" s="30"/>
      <c r="D167" s="30"/>
    </row>
    <row r="168" spans="1:4" ht="16">
      <c r="A168" s="37"/>
      <c r="B168" s="37"/>
      <c r="C168" s="30"/>
      <c r="D168" s="30"/>
    </row>
    <row r="169" spans="1:4" ht="16">
      <c r="A169" s="37"/>
      <c r="B169" s="37"/>
      <c r="C169" s="30"/>
      <c r="D169" s="30"/>
    </row>
    <row r="170" spans="1:4" ht="16">
      <c r="A170" s="37"/>
      <c r="B170" s="37"/>
      <c r="C170" s="30"/>
      <c r="D170" s="30"/>
    </row>
    <row r="171" spans="1:4" ht="16">
      <c r="A171" s="37"/>
      <c r="B171" s="37"/>
      <c r="C171" s="30"/>
      <c r="D171" s="30"/>
    </row>
    <row r="172" spans="1:4" ht="16">
      <c r="A172" s="37"/>
      <c r="B172" s="37"/>
      <c r="C172" s="30"/>
      <c r="D172" s="30"/>
    </row>
    <row r="173" spans="1:4" ht="16">
      <c r="A173" s="37"/>
      <c r="B173" s="37"/>
      <c r="C173" s="30"/>
      <c r="D173" s="30"/>
    </row>
    <row r="174" spans="1:4" ht="16">
      <c r="A174" s="37"/>
      <c r="B174" s="37"/>
      <c r="C174" s="30"/>
      <c r="D174" s="30"/>
    </row>
    <row r="175" spans="1:4" ht="16">
      <c r="A175" s="37"/>
      <c r="B175" s="37"/>
      <c r="C175" s="30"/>
      <c r="D175" s="30"/>
    </row>
    <row r="176" spans="1:4" ht="16">
      <c r="A176" s="37"/>
      <c r="B176" s="37"/>
      <c r="C176" s="30"/>
      <c r="D176" s="30"/>
    </row>
    <row r="177" spans="1:4" ht="16">
      <c r="A177" s="37"/>
      <c r="B177" s="37"/>
      <c r="C177" s="30"/>
      <c r="D177" s="30"/>
    </row>
    <row r="178" spans="1:4" ht="16">
      <c r="A178" s="37"/>
      <c r="B178" s="37"/>
      <c r="C178" s="30"/>
      <c r="D178" s="30"/>
    </row>
    <row r="179" spans="1:4" ht="16">
      <c r="A179" s="37"/>
      <c r="B179" s="37"/>
      <c r="C179" s="30"/>
      <c r="D179" s="30"/>
    </row>
    <row r="180" spans="1:4" ht="16">
      <c r="A180" s="37"/>
      <c r="B180" s="37"/>
      <c r="C180" s="30"/>
      <c r="D180" s="30"/>
    </row>
    <row r="181" spans="1:4" ht="16">
      <c r="A181" s="37"/>
      <c r="B181" s="37"/>
      <c r="C181" s="30"/>
      <c r="D181" s="30"/>
    </row>
    <row r="182" spans="1:4" ht="16">
      <c r="A182" s="37"/>
      <c r="B182" s="37"/>
      <c r="C182" s="30"/>
      <c r="D182" s="30"/>
    </row>
    <row r="183" spans="1:4" ht="16">
      <c r="A183" s="37"/>
      <c r="B183" s="37"/>
      <c r="C183" s="30"/>
      <c r="D183" s="30"/>
    </row>
    <row r="184" spans="1:4" ht="16">
      <c r="A184" s="37"/>
      <c r="B184" s="37"/>
      <c r="C184" s="30"/>
      <c r="D184" s="30"/>
    </row>
    <row r="185" spans="1:4" ht="16">
      <c r="A185" s="37"/>
      <c r="B185" s="37"/>
      <c r="C185" s="30"/>
      <c r="D185" s="30"/>
    </row>
    <row r="186" spans="1:4" ht="16">
      <c r="A186" s="37"/>
      <c r="B186" s="37"/>
      <c r="C186" s="30"/>
      <c r="D186" s="30"/>
    </row>
    <row r="187" spans="1:4" ht="16">
      <c r="A187" s="37"/>
      <c r="B187" s="37"/>
      <c r="C187" s="30"/>
      <c r="D187" s="30"/>
    </row>
    <row r="188" spans="1:4" ht="16">
      <c r="A188" s="37"/>
      <c r="B188" s="37"/>
      <c r="C188" s="30"/>
      <c r="D188" s="30"/>
    </row>
    <row r="189" spans="1:4" ht="16">
      <c r="A189" s="37"/>
      <c r="B189" s="37"/>
      <c r="C189" s="30"/>
      <c r="D189" s="30"/>
    </row>
    <row r="190" spans="1:4" ht="16">
      <c r="A190" s="37"/>
      <c r="B190" s="37"/>
      <c r="C190" s="30"/>
      <c r="D190" s="30"/>
    </row>
    <row r="191" spans="1:4" ht="16">
      <c r="A191" s="37"/>
      <c r="B191" s="37"/>
      <c r="C191" s="30"/>
      <c r="D191" s="30"/>
    </row>
    <row r="192" spans="1:4" ht="16">
      <c r="A192" s="37"/>
      <c r="B192" s="37"/>
      <c r="C192" s="30"/>
      <c r="D192" s="30"/>
    </row>
    <row r="193" spans="1:4" ht="16">
      <c r="A193" s="37"/>
      <c r="B193" s="37"/>
      <c r="C193" s="30"/>
      <c r="D193" s="30"/>
    </row>
    <row r="194" spans="1:4" ht="16">
      <c r="A194" s="37"/>
      <c r="B194" s="37"/>
      <c r="C194" s="30"/>
      <c r="D194" s="30"/>
    </row>
    <row r="195" spans="1:4" ht="16">
      <c r="A195" s="37"/>
      <c r="B195" s="37"/>
      <c r="C195" s="30"/>
      <c r="D195" s="30"/>
    </row>
    <row r="196" spans="1:4" ht="16">
      <c r="A196" s="37"/>
      <c r="B196" s="37"/>
      <c r="C196" s="30"/>
      <c r="D196" s="30"/>
    </row>
    <row r="197" spans="1:4" ht="16">
      <c r="A197" s="37"/>
      <c r="B197" s="37"/>
      <c r="C197" s="30"/>
      <c r="D197" s="30"/>
    </row>
    <row r="198" spans="1:4" ht="16">
      <c r="A198" s="37"/>
      <c r="B198" s="37"/>
      <c r="C198" s="30"/>
      <c r="D198" s="30"/>
    </row>
    <row r="199" spans="1:4" ht="16">
      <c r="A199" s="37"/>
      <c r="B199" s="37"/>
      <c r="C199" s="30"/>
      <c r="D199" s="30"/>
    </row>
    <row r="200" spans="1:4" ht="16">
      <c r="A200" s="37"/>
      <c r="B200" s="37"/>
      <c r="C200" s="30"/>
      <c r="D200" s="30"/>
    </row>
    <row r="201" spans="1:4" ht="16">
      <c r="A201" s="37"/>
      <c r="B201" s="37"/>
      <c r="C201" s="30"/>
      <c r="D201" s="30"/>
    </row>
    <row r="202" spans="1:4" ht="16">
      <c r="A202" s="37"/>
      <c r="B202" s="37"/>
      <c r="C202" s="30"/>
      <c r="D202" s="30"/>
    </row>
    <row r="203" spans="1:4" ht="16">
      <c r="A203" s="37"/>
      <c r="B203" s="37"/>
      <c r="C203" s="30"/>
      <c r="D203" s="30"/>
    </row>
    <row r="204" spans="1:4" ht="16">
      <c r="A204" s="37"/>
      <c r="B204" s="37"/>
      <c r="C204" s="30"/>
      <c r="D204" s="30"/>
    </row>
    <row r="205" spans="1:4" ht="16">
      <c r="A205" s="37"/>
      <c r="B205" s="37"/>
      <c r="C205" s="30"/>
      <c r="D205" s="30"/>
    </row>
    <row r="206" spans="1:4" ht="16">
      <c r="A206" s="37"/>
      <c r="B206" s="37"/>
      <c r="C206" s="30"/>
      <c r="D206" s="30"/>
    </row>
    <row r="207" spans="1:4" ht="16">
      <c r="A207" s="37"/>
      <c r="B207" s="37"/>
      <c r="C207" s="30"/>
      <c r="D207" s="30"/>
    </row>
    <row r="208" spans="1:4" ht="16">
      <c r="A208" s="37"/>
      <c r="B208" s="37"/>
      <c r="C208" s="30"/>
      <c r="D208" s="30"/>
    </row>
    <row r="209" spans="1:4" ht="16">
      <c r="A209" s="37"/>
      <c r="B209" s="37"/>
      <c r="C209" s="30"/>
      <c r="D209" s="30"/>
    </row>
    <row r="210" spans="1:4" ht="16">
      <c r="A210" s="37"/>
      <c r="B210" s="37"/>
      <c r="C210" s="30"/>
      <c r="D210" s="30"/>
    </row>
    <row r="211" spans="1:4" ht="16">
      <c r="A211" s="37"/>
      <c r="B211" s="37"/>
      <c r="C211" s="30"/>
      <c r="D211" s="30"/>
    </row>
    <row r="212" spans="1:4" ht="16">
      <c r="A212" s="37"/>
      <c r="B212" s="37"/>
      <c r="C212" s="30"/>
      <c r="D212" s="30"/>
    </row>
    <row r="213" spans="1:4" ht="16">
      <c r="A213" s="37"/>
      <c r="B213" s="37"/>
      <c r="C213" s="30"/>
      <c r="D213" s="30"/>
    </row>
    <row r="214" spans="1:4" ht="16">
      <c r="A214" s="37"/>
      <c r="B214" s="37"/>
      <c r="C214" s="30"/>
      <c r="D214" s="30"/>
    </row>
    <row r="215" spans="1:4" ht="16">
      <c r="A215" s="37"/>
      <c r="B215" s="37"/>
      <c r="C215" s="30"/>
      <c r="D215" s="30"/>
    </row>
    <row r="216" spans="1:4" ht="16">
      <c r="A216" s="37"/>
      <c r="B216" s="37"/>
      <c r="C216" s="30"/>
      <c r="D216" s="30"/>
    </row>
    <row r="217" spans="1:4" ht="16">
      <c r="A217" s="37"/>
      <c r="B217" s="37"/>
      <c r="C217" s="30"/>
      <c r="D217" s="30"/>
    </row>
    <row r="218" spans="1:4" ht="16">
      <c r="A218" s="37"/>
      <c r="B218" s="37"/>
      <c r="C218" s="30"/>
      <c r="D218" s="30"/>
    </row>
    <row r="219" spans="1:4" ht="16">
      <c r="A219" s="37"/>
      <c r="B219" s="37"/>
      <c r="C219" s="30"/>
      <c r="D219" s="30"/>
    </row>
    <row r="220" spans="1:4" ht="16">
      <c r="A220" s="37"/>
      <c r="B220" s="37"/>
      <c r="C220" s="30"/>
      <c r="D220" s="30"/>
    </row>
    <row r="221" spans="1:4" ht="16">
      <c r="A221" s="37"/>
      <c r="B221" s="37"/>
      <c r="C221" s="30"/>
      <c r="D221" s="30"/>
    </row>
    <row r="222" spans="1:4" ht="16">
      <c r="A222" s="37"/>
      <c r="B222" s="37"/>
      <c r="C222" s="30"/>
      <c r="D222" s="30"/>
    </row>
    <row r="223" spans="1:4" ht="16">
      <c r="A223" s="37"/>
      <c r="B223" s="37"/>
      <c r="C223" s="30"/>
      <c r="D223" s="30"/>
    </row>
    <row r="224" spans="1:4" ht="16">
      <c r="A224" s="37"/>
      <c r="B224" s="37"/>
      <c r="C224" s="30"/>
      <c r="D224" s="30"/>
    </row>
    <row r="225" spans="1:4" ht="16">
      <c r="A225" s="37"/>
      <c r="B225" s="37"/>
      <c r="C225" s="30"/>
      <c r="D225" s="30"/>
    </row>
    <row r="226" spans="1:4" ht="16">
      <c r="A226" s="37"/>
      <c r="B226" s="37"/>
      <c r="C226" s="30"/>
      <c r="D226" s="30"/>
    </row>
    <row r="227" spans="1:4" ht="16">
      <c r="A227" s="37"/>
      <c r="B227" s="37"/>
      <c r="C227" s="30"/>
      <c r="D227" s="30"/>
    </row>
    <row r="228" spans="1:4" ht="16">
      <c r="A228" s="37"/>
      <c r="B228" s="37"/>
      <c r="C228" s="30"/>
      <c r="D228" s="30"/>
    </row>
    <row r="229" spans="1:4" ht="16">
      <c r="A229" s="37"/>
      <c r="B229" s="37"/>
      <c r="C229" s="30"/>
      <c r="D229" s="30"/>
    </row>
    <row r="230" spans="1:4" ht="16">
      <c r="A230" s="37"/>
      <c r="B230" s="37"/>
      <c r="C230" s="30"/>
      <c r="D230" s="30"/>
    </row>
    <row r="231" spans="1:4" ht="16">
      <c r="A231" s="37"/>
      <c r="B231" s="37"/>
      <c r="C231" s="30"/>
      <c r="D231" s="30"/>
    </row>
    <row r="232" spans="1:4" ht="16">
      <c r="A232" s="37"/>
      <c r="B232" s="37"/>
      <c r="C232" s="30"/>
      <c r="D232" s="30"/>
    </row>
    <row r="233" spans="1:4" ht="16">
      <c r="A233" s="37"/>
      <c r="B233" s="37"/>
      <c r="C233" s="30"/>
      <c r="D233" s="30"/>
    </row>
    <row r="234" spans="1:4" ht="16">
      <c r="A234" s="37"/>
      <c r="B234" s="37"/>
      <c r="C234" s="30"/>
      <c r="D234" s="30"/>
    </row>
    <row r="235" spans="1:4" ht="16">
      <c r="A235" s="37"/>
      <c r="B235" s="37"/>
      <c r="C235" s="30"/>
      <c r="D235" s="30"/>
    </row>
    <row r="236" spans="1:4" ht="16">
      <c r="A236" s="37"/>
      <c r="B236" s="37"/>
      <c r="C236" s="30"/>
      <c r="D236" s="30"/>
    </row>
    <row r="237" spans="1:4" ht="16">
      <c r="A237" s="37"/>
      <c r="B237" s="37"/>
      <c r="C237" s="30"/>
      <c r="D237" s="30"/>
    </row>
    <row r="238" spans="1:4" ht="16">
      <c r="A238" s="37"/>
      <c r="B238" s="37"/>
      <c r="C238" s="30"/>
      <c r="D238" s="30"/>
    </row>
    <row r="239" spans="1:4" ht="16">
      <c r="A239" s="37"/>
      <c r="B239" s="37"/>
      <c r="C239" s="30"/>
      <c r="D239" s="30"/>
    </row>
    <row r="240" spans="1:4" ht="16">
      <c r="A240" s="37"/>
      <c r="B240" s="37"/>
      <c r="C240" s="30"/>
      <c r="D240" s="30"/>
    </row>
    <row r="241" spans="1:4" ht="16">
      <c r="A241" s="37"/>
      <c r="B241" s="37"/>
      <c r="C241" s="30"/>
      <c r="D241" s="30"/>
    </row>
    <row r="242" spans="1:4" ht="16">
      <c r="A242" s="37"/>
      <c r="B242" s="37"/>
      <c r="C242" s="30"/>
      <c r="D242" s="30"/>
    </row>
    <row r="243" spans="1:4" ht="16">
      <c r="A243" s="37"/>
      <c r="B243" s="37"/>
      <c r="C243" s="30"/>
      <c r="D243" s="30"/>
    </row>
    <row r="244" spans="1:4" ht="16">
      <c r="A244" s="37"/>
      <c r="B244" s="37"/>
      <c r="C244" s="30"/>
      <c r="D244" s="30"/>
    </row>
    <row r="245" spans="1:4" ht="16">
      <c r="A245" s="37"/>
      <c r="B245" s="37"/>
      <c r="C245" s="30"/>
      <c r="D245" s="30"/>
    </row>
    <row r="246" spans="1:4" ht="16">
      <c r="A246" s="37"/>
      <c r="B246" s="37"/>
      <c r="C246" s="30"/>
      <c r="D246" s="30"/>
    </row>
    <row r="247" spans="1:4" ht="16">
      <c r="A247" s="37"/>
      <c r="B247" s="37"/>
      <c r="C247" s="30"/>
      <c r="D247" s="30"/>
    </row>
    <row r="248" spans="1:4" ht="16">
      <c r="A248" s="37"/>
      <c r="B248" s="37"/>
      <c r="C248" s="30"/>
      <c r="D248" s="30"/>
    </row>
    <row r="249" spans="1:4" ht="16">
      <c r="A249" s="37"/>
      <c r="B249" s="37"/>
      <c r="C249" s="30"/>
      <c r="D249" s="30"/>
    </row>
    <row r="250" spans="1:4" ht="16">
      <c r="A250" s="37"/>
      <c r="B250" s="37"/>
      <c r="C250" s="30"/>
      <c r="D250" s="30"/>
    </row>
    <row r="251" spans="1:4" ht="16">
      <c r="A251" s="37"/>
      <c r="B251" s="37"/>
      <c r="C251" s="30"/>
      <c r="D251" s="30"/>
    </row>
    <row r="252" spans="1:4" ht="16">
      <c r="A252" s="37"/>
      <c r="B252" s="37"/>
      <c r="C252" s="30"/>
      <c r="D252" s="30"/>
    </row>
    <row r="253" spans="1:4" ht="16">
      <c r="A253" s="37"/>
      <c r="B253" s="37"/>
      <c r="C253" s="30"/>
      <c r="D253" s="30"/>
    </row>
    <row r="254" spans="1:4" ht="16">
      <c r="A254" s="37"/>
      <c r="B254" s="37"/>
      <c r="C254" s="30"/>
      <c r="D254" s="30"/>
    </row>
    <row r="255" spans="1:4" ht="16">
      <c r="A255" s="37"/>
      <c r="B255" s="37"/>
      <c r="C255" s="30"/>
      <c r="D255" s="30"/>
    </row>
    <row r="256" spans="1:4" ht="16">
      <c r="A256" s="37"/>
      <c r="B256" s="37"/>
      <c r="C256" s="30"/>
      <c r="D256" s="30"/>
    </row>
    <row r="257" spans="1:4" ht="16">
      <c r="A257" s="37"/>
      <c r="B257" s="37"/>
      <c r="C257" s="30"/>
      <c r="D257" s="30"/>
    </row>
    <row r="258" spans="1:4" ht="16">
      <c r="A258" s="37"/>
      <c r="B258" s="37"/>
      <c r="C258" s="30"/>
      <c r="D258" s="30"/>
    </row>
    <row r="259" spans="1:4" ht="16">
      <c r="A259" s="37"/>
      <c r="B259" s="37"/>
      <c r="C259" s="30"/>
      <c r="D259" s="30"/>
    </row>
    <row r="260" spans="1:4" ht="16">
      <c r="A260" s="37"/>
      <c r="B260" s="37"/>
      <c r="C260" s="30"/>
      <c r="D260" s="30"/>
    </row>
    <row r="261" spans="1:4" ht="16">
      <c r="A261" s="37"/>
      <c r="B261" s="37"/>
      <c r="C261" s="30"/>
      <c r="D261" s="30"/>
    </row>
    <row r="262" spans="1:4" ht="16">
      <c r="A262" s="37"/>
      <c r="B262" s="37"/>
      <c r="C262" s="30"/>
      <c r="D262" s="30"/>
    </row>
    <row r="263" spans="1:4" ht="16">
      <c r="A263" s="37"/>
      <c r="B263" s="37"/>
      <c r="C263" s="30"/>
      <c r="D263" s="30"/>
    </row>
    <row r="264" spans="1:4" ht="16">
      <c r="A264" s="37"/>
      <c r="B264" s="37"/>
      <c r="C264" s="30"/>
      <c r="D264" s="30"/>
    </row>
    <row r="265" spans="1:4" ht="16">
      <c r="A265" s="37"/>
      <c r="B265" s="37"/>
      <c r="C265" s="30"/>
      <c r="D265" s="30"/>
    </row>
    <row r="266" spans="1:4" ht="16">
      <c r="A266" s="37"/>
      <c r="B266" s="37"/>
      <c r="C266" s="30"/>
      <c r="D266" s="30"/>
    </row>
    <row r="267" spans="1:4" ht="16">
      <c r="A267" s="37"/>
      <c r="B267" s="37"/>
      <c r="C267" s="30"/>
      <c r="D267" s="30"/>
    </row>
    <row r="268" spans="1:4" ht="16">
      <c r="A268" s="37"/>
      <c r="B268" s="37"/>
      <c r="C268" s="30"/>
      <c r="D268" s="30"/>
    </row>
    <row r="269" spans="1:4" ht="16">
      <c r="A269" s="37"/>
      <c r="B269" s="37"/>
      <c r="C269" s="30"/>
      <c r="D269" s="30"/>
    </row>
    <row r="270" spans="1:4" ht="16">
      <c r="A270" s="37"/>
      <c r="B270" s="37"/>
      <c r="C270" s="30"/>
      <c r="D270" s="30"/>
    </row>
    <row r="271" spans="1:4" ht="16">
      <c r="A271" s="37"/>
      <c r="B271" s="37"/>
      <c r="C271" s="30"/>
      <c r="D271" s="30"/>
    </row>
    <row r="272" spans="1:4" ht="16">
      <c r="A272" s="37"/>
      <c r="B272" s="37"/>
      <c r="C272" s="30"/>
      <c r="D272" s="30"/>
    </row>
    <row r="273" spans="1:4" ht="16">
      <c r="A273" s="37"/>
      <c r="B273" s="37"/>
      <c r="C273" s="30"/>
      <c r="D273" s="30"/>
    </row>
    <row r="274" spans="1:4" ht="16">
      <c r="A274" s="37"/>
      <c r="B274" s="37"/>
      <c r="C274" s="30"/>
      <c r="D274" s="30"/>
    </row>
    <row r="275" spans="1:4" ht="16">
      <c r="A275" s="37"/>
      <c r="B275" s="37"/>
      <c r="C275" s="30"/>
      <c r="D275" s="30"/>
    </row>
    <row r="276" spans="1:4" ht="16">
      <c r="A276" s="37"/>
      <c r="B276" s="37"/>
      <c r="C276" s="30"/>
      <c r="D276" s="30"/>
    </row>
    <row r="277" spans="1:4" ht="16">
      <c r="A277" s="37"/>
      <c r="B277" s="37"/>
      <c r="C277" s="30"/>
      <c r="D277" s="30"/>
    </row>
    <row r="278" spans="1:4" ht="16">
      <c r="A278" s="37"/>
      <c r="B278" s="37"/>
      <c r="C278" s="30"/>
      <c r="D278" s="30"/>
    </row>
    <row r="279" spans="1:4" ht="16">
      <c r="A279" s="37"/>
      <c r="B279" s="37"/>
      <c r="C279" s="30"/>
      <c r="D279" s="30"/>
    </row>
    <row r="280" spans="1:4" ht="16">
      <c r="A280" s="37"/>
      <c r="B280" s="37"/>
      <c r="C280" s="30"/>
      <c r="D280" s="30"/>
    </row>
    <row r="281" spans="1:4" ht="16">
      <c r="A281" s="37"/>
      <c r="B281" s="37"/>
      <c r="C281" s="30"/>
      <c r="D281" s="30"/>
    </row>
    <row r="282" spans="1:4" ht="16">
      <c r="A282" s="37"/>
      <c r="B282" s="37"/>
      <c r="C282" s="30"/>
      <c r="D282" s="30"/>
    </row>
    <row r="283" spans="1:4" ht="16">
      <c r="A283" s="37"/>
      <c r="B283" s="37"/>
      <c r="C283" s="30"/>
      <c r="D283" s="30"/>
    </row>
    <row r="284" spans="1:4" ht="16">
      <c r="A284" s="37"/>
      <c r="B284" s="37"/>
      <c r="C284" s="30"/>
      <c r="D284" s="30"/>
    </row>
    <row r="285" spans="1:4" ht="16">
      <c r="A285" s="37"/>
      <c r="B285" s="37"/>
      <c r="C285" s="30"/>
      <c r="D285" s="30"/>
    </row>
    <row r="286" spans="1:4" ht="16">
      <c r="A286" s="37"/>
      <c r="B286" s="37"/>
      <c r="C286" s="30"/>
      <c r="D286" s="30"/>
    </row>
    <row r="287" spans="1:4" ht="16">
      <c r="A287" s="37"/>
      <c r="B287" s="37"/>
      <c r="C287" s="30"/>
      <c r="D287" s="30"/>
    </row>
    <row r="288" spans="1:4" ht="16">
      <c r="A288" s="37"/>
      <c r="B288" s="37"/>
      <c r="C288" s="30"/>
      <c r="D288" s="30"/>
    </row>
    <row r="289" spans="1:4" ht="16">
      <c r="A289" s="37"/>
      <c r="B289" s="37"/>
      <c r="C289" s="30"/>
      <c r="D289" s="30"/>
    </row>
    <row r="290" spans="1:4" ht="16">
      <c r="A290" s="37"/>
      <c r="B290" s="37"/>
      <c r="C290" s="30"/>
      <c r="D290" s="30"/>
    </row>
    <row r="291" spans="1:4" ht="16">
      <c r="A291" s="37"/>
      <c r="B291" s="37"/>
      <c r="C291" s="30"/>
      <c r="D291" s="30"/>
    </row>
    <row r="292" spans="1:4" ht="16">
      <c r="A292" s="37"/>
      <c r="B292" s="37"/>
      <c r="C292" s="30"/>
      <c r="D292" s="30"/>
    </row>
    <row r="293" spans="1:4" ht="16">
      <c r="A293" s="37"/>
      <c r="B293" s="37"/>
      <c r="C293" s="30"/>
      <c r="D293" s="30"/>
    </row>
    <row r="294" spans="1:4" ht="16">
      <c r="A294" s="37"/>
      <c r="B294" s="37"/>
      <c r="C294" s="30"/>
      <c r="D294" s="30"/>
    </row>
    <row r="295" spans="1:4" ht="16">
      <c r="A295" s="37"/>
      <c r="B295" s="37"/>
      <c r="C295" s="30"/>
      <c r="D295" s="30"/>
    </row>
    <row r="296" spans="1:4" ht="16">
      <c r="A296" s="37"/>
      <c r="B296" s="37"/>
      <c r="C296" s="30"/>
      <c r="D296" s="30"/>
    </row>
    <row r="297" spans="1:4" ht="16">
      <c r="A297" s="37"/>
      <c r="B297" s="37"/>
      <c r="C297" s="30"/>
      <c r="D297" s="30"/>
    </row>
    <row r="298" spans="1:4" ht="16">
      <c r="A298" s="37"/>
      <c r="B298" s="37"/>
      <c r="C298" s="30"/>
      <c r="D298" s="30"/>
    </row>
    <row r="299" spans="1:4" ht="16">
      <c r="A299" s="37"/>
      <c r="B299" s="37"/>
      <c r="C299" s="30"/>
      <c r="D299" s="30"/>
    </row>
    <row r="300" spans="1:4" ht="16">
      <c r="A300" s="37"/>
      <c r="B300" s="37"/>
      <c r="C300" s="30"/>
      <c r="D300" s="30"/>
    </row>
    <row r="301" spans="1:4" ht="16">
      <c r="A301" s="37"/>
      <c r="B301" s="37"/>
      <c r="C301" s="30"/>
      <c r="D301" s="30"/>
    </row>
    <row r="302" spans="1:4" ht="16">
      <c r="A302" s="37"/>
      <c r="B302" s="37"/>
      <c r="C302" s="30"/>
      <c r="D302" s="30"/>
    </row>
    <row r="303" spans="1:4" ht="16">
      <c r="A303" s="37"/>
      <c r="B303" s="37"/>
      <c r="C303" s="30"/>
      <c r="D303" s="30"/>
    </row>
    <row r="304" spans="1:4" ht="16">
      <c r="A304" s="37"/>
      <c r="B304" s="37"/>
      <c r="C304" s="30"/>
      <c r="D304" s="30"/>
    </row>
    <row r="305" spans="1:4" ht="16">
      <c r="A305" s="37"/>
      <c r="B305" s="37"/>
      <c r="C305" s="30"/>
      <c r="D305" s="30"/>
    </row>
    <row r="306" spans="1:4" ht="16">
      <c r="A306" s="37"/>
      <c r="B306" s="37"/>
      <c r="C306" s="30"/>
      <c r="D306" s="30"/>
    </row>
    <row r="307" spans="1:4" ht="16">
      <c r="A307" s="37"/>
      <c r="B307" s="37"/>
      <c r="C307" s="30"/>
      <c r="D307" s="30"/>
    </row>
    <row r="308" spans="1:4" ht="16">
      <c r="A308" s="37"/>
      <c r="B308" s="37"/>
      <c r="C308" s="30"/>
      <c r="D308" s="30"/>
    </row>
    <row r="309" spans="1:4" ht="16">
      <c r="A309" s="37"/>
      <c r="B309" s="37"/>
      <c r="C309" s="30"/>
      <c r="D309" s="30"/>
    </row>
    <row r="310" spans="1:4" ht="16">
      <c r="A310" s="37"/>
      <c r="B310" s="37"/>
      <c r="C310" s="30"/>
      <c r="D310" s="30"/>
    </row>
    <row r="311" spans="1:4" ht="16">
      <c r="A311" s="37"/>
      <c r="B311" s="37"/>
      <c r="C311" s="30"/>
      <c r="D311" s="30"/>
    </row>
    <row r="312" spans="1:4" ht="16">
      <c r="A312" s="37"/>
      <c r="B312" s="37"/>
      <c r="C312" s="30"/>
      <c r="D312" s="30"/>
    </row>
    <row r="313" spans="1:4" ht="16">
      <c r="A313" s="37"/>
      <c r="B313" s="37"/>
      <c r="C313" s="30"/>
      <c r="D313" s="30"/>
    </row>
    <row r="314" spans="1:4" ht="16">
      <c r="A314" s="37"/>
      <c r="B314" s="37"/>
      <c r="C314" s="30"/>
      <c r="D314" s="30"/>
    </row>
    <row r="315" spans="1:4" ht="16">
      <c r="A315" s="37"/>
      <c r="B315" s="37"/>
      <c r="C315" s="30"/>
      <c r="D315" s="30"/>
    </row>
    <row r="316" spans="1:4" ht="16">
      <c r="A316" s="37"/>
      <c r="B316" s="37"/>
      <c r="C316" s="30"/>
      <c r="D316" s="30"/>
    </row>
    <row r="317" spans="1:4" ht="16">
      <c r="A317" s="37"/>
      <c r="B317" s="37"/>
      <c r="C317" s="30"/>
      <c r="D317" s="30"/>
    </row>
    <row r="318" spans="1:4" ht="16">
      <c r="A318" s="37"/>
      <c r="B318" s="37"/>
      <c r="C318" s="30"/>
      <c r="D318" s="30"/>
    </row>
    <row r="319" spans="1:4" ht="16">
      <c r="A319" s="37"/>
      <c r="B319" s="37"/>
      <c r="C319" s="30"/>
      <c r="D319" s="30"/>
    </row>
    <row r="320" spans="1:4" ht="16">
      <c r="A320" s="37"/>
      <c r="B320" s="37"/>
      <c r="C320" s="30"/>
      <c r="D320" s="30"/>
    </row>
    <row r="321" spans="1:4" ht="16">
      <c r="A321" s="37"/>
      <c r="B321" s="37"/>
      <c r="C321" s="30"/>
      <c r="D321" s="30"/>
    </row>
    <row r="322" spans="1:4" ht="16">
      <c r="A322" s="37"/>
      <c r="B322" s="37"/>
      <c r="C322" s="30"/>
      <c r="D322" s="30"/>
    </row>
    <row r="323" spans="1:4" ht="16">
      <c r="A323" s="37"/>
      <c r="B323" s="37"/>
      <c r="C323" s="30"/>
      <c r="D323" s="30"/>
    </row>
    <row r="324" spans="1:4" ht="16">
      <c r="A324" s="37"/>
      <c r="B324" s="37"/>
      <c r="C324" s="30"/>
      <c r="D324" s="30"/>
    </row>
    <row r="325" spans="1:4" ht="16">
      <c r="A325" s="37"/>
      <c r="B325" s="37"/>
      <c r="C325" s="30"/>
      <c r="D325" s="30"/>
    </row>
    <row r="326" spans="1:4" ht="16">
      <c r="A326" s="37"/>
      <c r="B326" s="37"/>
      <c r="C326" s="30"/>
      <c r="D326" s="30"/>
    </row>
    <row r="327" spans="1:4" ht="16">
      <c r="A327" s="37"/>
      <c r="B327" s="37"/>
      <c r="C327" s="30"/>
      <c r="D327" s="30"/>
    </row>
    <row r="328" spans="1:4" ht="16">
      <c r="A328" s="37"/>
      <c r="B328" s="37"/>
      <c r="C328" s="30"/>
      <c r="D328" s="30"/>
    </row>
    <row r="329" spans="1:4" ht="16">
      <c r="A329" s="37"/>
      <c r="B329" s="37"/>
      <c r="C329" s="30"/>
      <c r="D329" s="30"/>
    </row>
    <row r="330" spans="1:4" ht="16">
      <c r="A330" s="37"/>
      <c r="B330" s="37"/>
      <c r="C330" s="30"/>
      <c r="D330" s="30"/>
    </row>
    <row r="331" spans="1:4" ht="16">
      <c r="A331" s="37"/>
      <c r="B331" s="37"/>
      <c r="C331" s="30"/>
      <c r="D331" s="30"/>
    </row>
    <row r="332" spans="1:4" ht="16">
      <c r="A332" s="37"/>
      <c r="B332" s="37"/>
      <c r="C332" s="30"/>
      <c r="D332" s="30"/>
    </row>
    <row r="333" spans="1:4" ht="16">
      <c r="A333" s="37"/>
      <c r="B333" s="37"/>
      <c r="C333" s="30"/>
      <c r="D333" s="30"/>
    </row>
    <row r="334" spans="1:4" ht="16">
      <c r="A334" s="37"/>
      <c r="B334" s="37"/>
      <c r="C334" s="30"/>
      <c r="D334" s="30"/>
    </row>
    <row r="335" spans="1:4" ht="16">
      <c r="A335" s="37"/>
      <c r="B335" s="37"/>
      <c r="C335" s="30"/>
      <c r="D335" s="30"/>
    </row>
    <row r="336" spans="1:4" ht="16">
      <c r="A336" s="37"/>
      <c r="B336" s="37"/>
      <c r="C336" s="30"/>
      <c r="D336" s="30"/>
    </row>
    <row r="337" spans="1:4" ht="16">
      <c r="A337" s="37"/>
      <c r="B337" s="37"/>
      <c r="C337" s="30"/>
      <c r="D337" s="30"/>
    </row>
    <row r="338" spans="1:4" ht="16">
      <c r="A338" s="37"/>
      <c r="B338" s="37"/>
      <c r="C338" s="30"/>
      <c r="D338" s="30"/>
    </row>
    <row r="339" spans="1:4" ht="16">
      <c r="A339" s="37"/>
      <c r="B339" s="37"/>
      <c r="C339" s="30"/>
      <c r="D339" s="30"/>
    </row>
    <row r="340" spans="1:4" ht="16">
      <c r="A340" s="37"/>
      <c r="B340" s="37"/>
      <c r="C340" s="30"/>
      <c r="D340" s="30"/>
    </row>
    <row r="341" spans="1:4" ht="16">
      <c r="A341" s="37"/>
      <c r="B341" s="37"/>
      <c r="C341" s="30"/>
      <c r="D341" s="30"/>
    </row>
    <row r="342" spans="1:4" ht="16">
      <c r="A342" s="37"/>
      <c r="B342" s="37"/>
      <c r="C342" s="30"/>
      <c r="D342" s="30"/>
    </row>
    <row r="343" spans="1:4" ht="16">
      <c r="A343" s="37"/>
      <c r="B343" s="37"/>
      <c r="C343" s="30"/>
      <c r="D343" s="30"/>
    </row>
    <row r="344" spans="1:4" ht="16">
      <c r="A344" s="37"/>
      <c r="B344" s="37"/>
      <c r="C344" s="30"/>
      <c r="D344" s="30"/>
    </row>
    <row r="345" spans="1:4" ht="16">
      <c r="A345" s="37"/>
      <c r="B345" s="37"/>
      <c r="C345" s="30"/>
      <c r="D345" s="30"/>
    </row>
    <row r="346" spans="1:4" ht="16">
      <c r="A346" s="37"/>
      <c r="B346" s="37"/>
      <c r="C346" s="30"/>
      <c r="D346" s="30"/>
    </row>
    <row r="347" spans="1:4" ht="16">
      <c r="A347" s="37"/>
      <c r="B347" s="37"/>
      <c r="C347" s="30"/>
      <c r="D347" s="30"/>
    </row>
    <row r="348" spans="1:4" ht="16">
      <c r="A348" s="37"/>
      <c r="B348" s="37"/>
      <c r="C348" s="30"/>
      <c r="D348" s="30"/>
    </row>
    <row r="349" spans="1:4" ht="16">
      <c r="A349" s="37"/>
      <c r="B349" s="37"/>
      <c r="C349" s="30"/>
      <c r="D349" s="30"/>
    </row>
    <row r="350" spans="1:4" ht="16">
      <c r="A350" s="37"/>
      <c r="B350" s="37"/>
      <c r="C350" s="30"/>
      <c r="D350" s="30"/>
    </row>
    <row r="351" spans="1:4" ht="16">
      <c r="A351" s="37"/>
      <c r="B351" s="37"/>
      <c r="C351" s="30"/>
      <c r="D351" s="30"/>
    </row>
    <row r="352" spans="1:4" ht="16">
      <c r="A352" s="37"/>
      <c r="B352" s="37"/>
      <c r="C352" s="30"/>
      <c r="D352" s="30"/>
    </row>
    <row r="353" spans="1:4" ht="16">
      <c r="A353" s="37"/>
      <c r="B353" s="37"/>
      <c r="C353" s="30"/>
      <c r="D353" s="30"/>
    </row>
    <row r="354" spans="1:4" ht="16">
      <c r="A354" s="37"/>
      <c r="B354" s="37"/>
      <c r="C354" s="30"/>
      <c r="D354" s="30"/>
    </row>
    <row r="355" spans="1:4" ht="16">
      <c r="A355" s="37"/>
      <c r="B355" s="37"/>
      <c r="C355" s="30"/>
      <c r="D355" s="30"/>
    </row>
    <row r="356" spans="1:4" ht="16">
      <c r="A356" s="37"/>
      <c r="B356" s="37"/>
      <c r="C356" s="30"/>
      <c r="D356" s="30"/>
    </row>
    <row r="357" spans="1:4" ht="16">
      <c r="A357" s="37"/>
      <c r="B357" s="37"/>
      <c r="C357" s="30"/>
      <c r="D357" s="30"/>
    </row>
    <row r="358" spans="1:4" ht="16">
      <c r="A358" s="37"/>
      <c r="B358" s="37"/>
      <c r="C358" s="30"/>
      <c r="D358" s="30"/>
    </row>
    <row r="359" spans="1:4" ht="16">
      <c r="A359" s="37"/>
      <c r="B359" s="37"/>
      <c r="C359" s="30"/>
      <c r="D359" s="30"/>
    </row>
    <row r="360" spans="1:4" ht="16">
      <c r="A360" s="37"/>
      <c r="B360" s="37"/>
      <c r="C360" s="30"/>
      <c r="D360" s="30"/>
    </row>
    <row r="361" spans="1:4" ht="16">
      <c r="A361" s="37"/>
      <c r="B361" s="37"/>
      <c r="C361" s="30"/>
      <c r="D361" s="30"/>
    </row>
    <row r="362" spans="1:4" ht="16">
      <c r="A362" s="37"/>
      <c r="B362" s="37"/>
      <c r="C362" s="30"/>
      <c r="D362" s="30"/>
    </row>
    <row r="363" spans="1:4" ht="16">
      <c r="A363" s="37"/>
      <c r="B363" s="37"/>
      <c r="C363" s="30"/>
      <c r="D363" s="30"/>
    </row>
    <row r="364" spans="1:4" ht="16">
      <c r="A364" s="37"/>
      <c r="B364" s="37"/>
      <c r="C364" s="30"/>
      <c r="D364" s="30"/>
    </row>
    <row r="365" spans="1:4" ht="16">
      <c r="A365" s="37"/>
      <c r="B365" s="37"/>
      <c r="C365" s="30"/>
      <c r="D365" s="30"/>
    </row>
    <row r="366" spans="1:4" ht="16">
      <c r="A366" s="37"/>
      <c r="B366" s="37"/>
      <c r="C366" s="30"/>
      <c r="D366" s="30"/>
    </row>
    <row r="367" spans="1:4" ht="16">
      <c r="A367" s="37"/>
      <c r="B367" s="37"/>
      <c r="C367" s="30"/>
      <c r="D367" s="30"/>
    </row>
    <row r="368" spans="1:4" ht="16">
      <c r="A368" s="37"/>
      <c r="B368" s="37"/>
      <c r="C368" s="30"/>
      <c r="D368" s="30"/>
    </row>
    <row r="369" spans="1:4" ht="16">
      <c r="A369" s="37"/>
      <c r="B369" s="37"/>
      <c r="C369" s="30"/>
      <c r="D369" s="30"/>
    </row>
    <row r="370" spans="1:4" ht="16">
      <c r="A370" s="37"/>
      <c r="B370" s="37"/>
      <c r="C370" s="30"/>
      <c r="D370" s="30"/>
    </row>
    <row r="371" spans="1:4" ht="16">
      <c r="A371" s="37"/>
      <c r="B371" s="37"/>
      <c r="C371" s="30"/>
      <c r="D371" s="30"/>
    </row>
    <row r="372" spans="1:4" ht="16">
      <c r="A372" s="37"/>
      <c r="B372" s="37"/>
      <c r="C372" s="30"/>
      <c r="D372" s="30"/>
    </row>
    <row r="373" spans="1:4" ht="16">
      <c r="A373" s="37"/>
      <c r="B373" s="37"/>
      <c r="C373" s="30"/>
      <c r="D373" s="30"/>
    </row>
    <row r="374" spans="1:4" ht="16">
      <c r="A374" s="37"/>
      <c r="B374" s="37"/>
      <c r="C374" s="30"/>
      <c r="D374" s="30"/>
    </row>
    <row r="375" spans="1:4" ht="16">
      <c r="A375" s="37"/>
      <c r="B375" s="37"/>
      <c r="C375" s="30"/>
      <c r="D375" s="30"/>
    </row>
    <row r="376" spans="1:4" ht="16">
      <c r="A376" s="37"/>
      <c r="B376" s="37"/>
      <c r="C376" s="30"/>
      <c r="D376" s="30"/>
    </row>
    <row r="377" spans="1:4" ht="16">
      <c r="A377" s="37"/>
      <c r="B377" s="37"/>
      <c r="C377" s="30"/>
      <c r="D377" s="30"/>
    </row>
    <row r="378" spans="1:4" ht="16">
      <c r="A378" s="37"/>
      <c r="B378" s="37"/>
      <c r="C378" s="30"/>
      <c r="D378" s="30"/>
    </row>
    <row r="379" spans="1:4" ht="16">
      <c r="A379" s="37"/>
      <c r="B379" s="37"/>
      <c r="C379" s="30"/>
      <c r="D379" s="30"/>
    </row>
    <row r="380" spans="1:4" ht="16">
      <c r="A380" s="37"/>
      <c r="B380" s="37"/>
      <c r="C380" s="30"/>
      <c r="D380" s="30"/>
    </row>
    <row r="381" spans="1:4" ht="16">
      <c r="A381" s="37"/>
      <c r="B381" s="37"/>
      <c r="C381" s="30"/>
      <c r="D381" s="30"/>
    </row>
    <row r="382" spans="1:4" ht="16">
      <c r="A382" s="37"/>
      <c r="B382" s="37"/>
      <c r="C382" s="30"/>
      <c r="D382" s="30"/>
    </row>
    <row r="383" spans="1:4" ht="16">
      <c r="A383" s="37"/>
      <c r="B383" s="37"/>
      <c r="C383" s="30"/>
      <c r="D383" s="30"/>
    </row>
    <row r="384" spans="1:4" ht="16">
      <c r="A384" s="37"/>
      <c r="B384" s="37"/>
      <c r="C384" s="30"/>
      <c r="D384" s="30"/>
    </row>
    <row r="385" spans="1:4" ht="16">
      <c r="A385" s="37"/>
      <c r="B385" s="37"/>
      <c r="C385" s="30"/>
      <c r="D385" s="30"/>
    </row>
    <row r="386" spans="1:4" ht="16">
      <c r="A386" s="37"/>
      <c r="B386" s="37"/>
      <c r="C386" s="30"/>
      <c r="D386" s="30"/>
    </row>
    <row r="387" spans="1:4" ht="16">
      <c r="A387" s="37"/>
      <c r="B387" s="37"/>
      <c r="C387" s="30"/>
      <c r="D387" s="30"/>
    </row>
    <row r="388" spans="1:4" ht="16">
      <c r="A388" s="37"/>
      <c r="B388" s="37"/>
      <c r="C388" s="30"/>
      <c r="D388" s="30"/>
    </row>
    <row r="389" spans="1:4" ht="16">
      <c r="A389" s="37"/>
      <c r="B389" s="37"/>
      <c r="C389" s="30"/>
      <c r="D389" s="30"/>
    </row>
    <row r="390" spans="1:4" ht="16">
      <c r="A390" s="37"/>
      <c r="B390" s="37"/>
      <c r="C390" s="30"/>
      <c r="D390" s="30"/>
    </row>
    <row r="391" spans="1:4" ht="16">
      <c r="A391" s="37"/>
      <c r="B391" s="37"/>
      <c r="C391" s="30"/>
      <c r="D391" s="30"/>
    </row>
    <row r="392" spans="1:4" ht="16">
      <c r="A392" s="37"/>
      <c r="B392" s="37"/>
      <c r="C392" s="30"/>
      <c r="D392" s="30"/>
    </row>
    <row r="393" spans="1:4" ht="16">
      <c r="A393" s="37"/>
      <c r="B393" s="37"/>
      <c r="C393" s="30"/>
      <c r="D393" s="30"/>
    </row>
    <row r="394" spans="1:4" ht="16">
      <c r="A394" s="37"/>
      <c r="B394" s="37"/>
      <c r="C394" s="30"/>
      <c r="D394" s="30"/>
    </row>
    <row r="395" spans="1:4" ht="16">
      <c r="A395" s="37"/>
      <c r="B395" s="37"/>
      <c r="C395" s="30"/>
      <c r="D395" s="30"/>
    </row>
    <row r="396" spans="1:4" ht="16">
      <c r="A396" s="37"/>
      <c r="B396" s="37"/>
      <c r="C396" s="30"/>
      <c r="D396" s="30"/>
    </row>
    <row r="397" spans="1:4" ht="16">
      <c r="A397" s="37"/>
      <c r="B397" s="37"/>
      <c r="C397" s="30"/>
      <c r="D397" s="30"/>
    </row>
    <row r="398" spans="1:4" ht="16">
      <c r="A398" s="37"/>
      <c r="B398" s="37"/>
      <c r="C398" s="30"/>
      <c r="D398" s="30"/>
    </row>
    <row r="399" spans="1:4" ht="16">
      <c r="A399" s="37"/>
      <c r="B399" s="37"/>
      <c r="C399" s="30"/>
      <c r="D399" s="30"/>
    </row>
    <row r="400" spans="1:4" ht="16">
      <c r="A400" s="37"/>
      <c r="B400" s="37"/>
      <c r="C400" s="30"/>
      <c r="D400" s="30"/>
    </row>
    <row r="401" spans="1:4" ht="16">
      <c r="A401" s="37"/>
      <c r="B401" s="37"/>
      <c r="C401" s="30"/>
      <c r="D401" s="30"/>
    </row>
    <row r="402" spans="1:4" ht="16">
      <c r="A402" s="37"/>
      <c r="B402" s="37"/>
      <c r="C402" s="30"/>
      <c r="D402" s="30"/>
    </row>
    <row r="403" spans="1:4" ht="16">
      <c r="A403" s="37"/>
      <c r="B403" s="37"/>
      <c r="C403" s="30"/>
      <c r="D403" s="30"/>
    </row>
    <row r="404" spans="1:4" ht="16">
      <c r="A404" s="37"/>
      <c r="B404" s="37"/>
      <c r="C404" s="30"/>
      <c r="D404" s="30"/>
    </row>
    <row r="405" spans="1:4" ht="16">
      <c r="A405" s="37"/>
      <c r="B405" s="37"/>
      <c r="C405" s="30"/>
      <c r="D405" s="30"/>
    </row>
    <row r="406" spans="1:4" ht="16">
      <c r="A406" s="37"/>
      <c r="B406" s="37"/>
      <c r="C406" s="30"/>
      <c r="D406" s="30"/>
    </row>
    <row r="407" spans="1:4" ht="16">
      <c r="A407" s="37"/>
      <c r="B407" s="37"/>
      <c r="C407" s="30"/>
      <c r="D407" s="30"/>
    </row>
    <row r="408" spans="1:4" ht="16">
      <c r="A408" s="37"/>
      <c r="B408" s="37"/>
      <c r="C408" s="30"/>
      <c r="D408" s="30"/>
    </row>
    <row r="409" spans="1:4" ht="16">
      <c r="A409" s="37"/>
      <c r="B409" s="37"/>
      <c r="C409" s="30"/>
      <c r="D409" s="30"/>
    </row>
    <row r="410" spans="1:4" ht="16">
      <c r="A410" s="37"/>
      <c r="B410" s="37"/>
      <c r="C410" s="30"/>
      <c r="D410" s="30"/>
    </row>
    <row r="411" spans="1:4" ht="16">
      <c r="A411" s="37"/>
      <c r="B411" s="37"/>
      <c r="C411" s="30"/>
      <c r="D411" s="30"/>
    </row>
    <row r="412" spans="1:4" ht="16">
      <c r="A412" s="37"/>
      <c r="B412" s="37"/>
      <c r="C412" s="30"/>
      <c r="D412" s="30"/>
    </row>
    <row r="413" spans="1:4" ht="16">
      <c r="A413" s="37"/>
      <c r="B413" s="37"/>
      <c r="C413" s="30"/>
      <c r="D413" s="30"/>
    </row>
    <row r="414" spans="1:4" ht="16">
      <c r="A414" s="37"/>
      <c r="B414" s="37"/>
      <c r="C414" s="30"/>
      <c r="D414" s="30"/>
    </row>
    <row r="415" spans="1:4" ht="16">
      <c r="A415" s="37"/>
      <c r="B415" s="37"/>
      <c r="C415" s="30"/>
      <c r="D415" s="30"/>
    </row>
    <row r="416" spans="1:4" ht="16">
      <c r="A416" s="37"/>
      <c r="B416" s="37"/>
      <c r="C416" s="30"/>
      <c r="D416" s="30"/>
    </row>
    <row r="417" spans="1:4" ht="16">
      <c r="A417" s="37"/>
      <c r="B417" s="37"/>
      <c r="C417" s="30"/>
      <c r="D417" s="30"/>
    </row>
    <row r="418" spans="1:4" ht="16">
      <c r="A418" s="37"/>
      <c r="B418" s="37"/>
      <c r="C418" s="30"/>
      <c r="D418" s="30"/>
    </row>
    <row r="419" spans="1:4" ht="16">
      <c r="A419" s="37"/>
      <c r="B419" s="37"/>
      <c r="C419" s="30"/>
      <c r="D419" s="30"/>
    </row>
    <row r="420" spans="1:4" ht="16">
      <c r="A420" s="37"/>
      <c r="B420" s="37"/>
      <c r="C420" s="30"/>
      <c r="D420" s="30"/>
    </row>
    <row r="421" spans="1:4" ht="16">
      <c r="A421" s="37"/>
      <c r="B421" s="37"/>
      <c r="C421" s="30"/>
      <c r="D421" s="30"/>
    </row>
    <row r="422" spans="1:4" ht="16">
      <c r="A422" s="37"/>
      <c r="B422" s="37"/>
      <c r="C422" s="30"/>
      <c r="D422" s="30"/>
    </row>
    <row r="423" spans="1:4" ht="16">
      <c r="A423" s="37"/>
      <c r="B423" s="37"/>
      <c r="C423" s="30"/>
      <c r="D423" s="30"/>
    </row>
    <row r="424" spans="1:4" ht="16">
      <c r="A424" s="37"/>
      <c r="B424" s="37"/>
      <c r="C424" s="30"/>
      <c r="D424" s="30"/>
    </row>
    <row r="425" spans="1:4" ht="16">
      <c r="A425" s="37"/>
      <c r="B425" s="37"/>
      <c r="C425" s="30"/>
      <c r="D425" s="30"/>
    </row>
    <row r="426" spans="1:4" ht="16">
      <c r="A426" s="37"/>
      <c r="B426" s="37"/>
      <c r="C426" s="30"/>
      <c r="D426" s="30"/>
    </row>
    <row r="427" spans="1:4" ht="16">
      <c r="A427" s="37"/>
      <c r="B427" s="37"/>
      <c r="C427" s="30"/>
      <c r="D427" s="30"/>
    </row>
    <row r="428" spans="1:4" ht="16">
      <c r="A428" s="37"/>
      <c r="B428" s="37"/>
      <c r="C428" s="30"/>
      <c r="D428" s="30"/>
    </row>
    <row r="429" spans="1:4" ht="16">
      <c r="A429" s="37"/>
      <c r="B429" s="37"/>
      <c r="C429" s="30"/>
      <c r="D429" s="30"/>
    </row>
    <row r="430" spans="1:4" ht="16">
      <c r="A430" s="37"/>
      <c r="B430" s="37"/>
      <c r="C430" s="30"/>
      <c r="D430" s="30"/>
    </row>
    <row r="431" spans="1:4" ht="16">
      <c r="A431" s="37"/>
      <c r="B431" s="37"/>
      <c r="C431" s="30"/>
      <c r="D431" s="30"/>
    </row>
    <row r="432" spans="1:4" ht="16">
      <c r="A432" s="37"/>
      <c r="B432" s="37"/>
      <c r="C432" s="30"/>
      <c r="D432" s="30"/>
    </row>
    <row r="433" spans="1:4" ht="16">
      <c r="A433" s="37"/>
      <c r="B433" s="37"/>
      <c r="C433" s="30"/>
      <c r="D433" s="30"/>
    </row>
    <row r="434" spans="1:4" ht="16">
      <c r="A434" s="37"/>
      <c r="B434" s="37"/>
      <c r="C434" s="30"/>
      <c r="D434" s="30"/>
    </row>
    <row r="435" spans="1:4" ht="16">
      <c r="A435" s="37"/>
      <c r="B435" s="37"/>
      <c r="C435" s="30"/>
      <c r="D435" s="30"/>
    </row>
    <row r="436" spans="1:4" ht="16">
      <c r="A436" s="37"/>
      <c r="B436" s="37"/>
      <c r="C436" s="30"/>
      <c r="D436" s="30"/>
    </row>
    <row r="437" spans="1:4" ht="16">
      <c r="A437" s="37"/>
      <c r="B437" s="37"/>
      <c r="C437" s="30"/>
      <c r="D437" s="30"/>
    </row>
    <row r="438" spans="1:4" ht="16">
      <c r="A438" s="37"/>
      <c r="B438" s="37"/>
      <c r="C438" s="30"/>
      <c r="D438" s="30"/>
    </row>
    <row r="439" spans="1:4" ht="16">
      <c r="A439" s="37"/>
      <c r="B439" s="37"/>
      <c r="C439" s="30"/>
      <c r="D439" s="30"/>
    </row>
    <row r="440" spans="1:4" ht="16">
      <c r="A440" s="37"/>
      <c r="B440" s="37"/>
      <c r="C440" s="30"/>
      <c r="D440" s="30"/>
    </row>
    <row r="441" spans="1:4" ht="16">
      <c r="A441" s="37"/>
      <c r="B441" s="37"/>
      <c r="C441" s="30"/>
      <c r="D441" s="30"/>
    </row>
    <row r="442" spans="1:4" ht="16">
      <c r="A442" s="37"/>
      <c r="B442" s="37"/>
      <c r="C442" s="30"/>
      <c r="D442" s="30"/>
    </row>
    <row r="443" spans="1:4" ht="16">
      <c r="A443" s="37"/>
      <c r="B443" s="37"/>
      <c r="C443" s="30"/>
      <c r="D443" s="30"/>
    </row>
    <row r="444" spans="1:4" ht="16">
      <c r="A444" s="37"/>
      <c r="B444" s="37"/>
      <c r="C444" s="30"/>
      <c r="D444" s="30"/>
    </row>
    <row r="445" spans="1:4" ht="16">
      <c r="A445" s="37"/>
      <c r="B445" s="37"/>
      <c r="C445" s="30"/>
      <c r="D445" s="30"/>
    </row>
    <row r="446" spans="1:4" ht="16">
      <c r="A446" s="37"/>
      <c r="B446" s="37"/>
      <c r="C446" s="30"/>
      <c r="D446" s="30"/>
    </row>
    <row r="447" spans="1:4" ht="16">
      <c r="A447" s="37"/>
      <c r="B447" s="37"/>
      <c r="C447" s="30"/>
      <c r="D447" s="30"/>
    </row>
    <row r="448" spans="1:4" ht="16">
      <c r="A448" s="37"/>
      <c r="B448" s="37"/>
      <c r="C448" s="30"/>
      <c r="D448" s="30"/>
    </row>
    <row r="449" spans="1:4" ht="16">
      <c r="A449" s="37"/>
      <c r="B449" s="37"/>
      <c r="C449" s="30"/>
      <c r="D449" s="30"/>
    </row>
    <row r="450" spans="1:4" ht="16">
      <c r="A450" s="37"/>
      <c r="B450" s="37"/>
      <c r="C450" s="30"/>
      <c r="D450" s="30"/>
    </row>
    <row r="451" spans="1:4" ht="16">
      <c r="A451" s="37"/>
      <c r="B451" s="37"/>
      <c r="C451" s="30"/>
      <c r="D451" s="30"/>
    </row>
    <row r="452" spans="1:4" ht="16">
      <c r="A452" s="37"/>
      <c r="B452" s="37"/>
      <c r="C452" s="30"/>
      <c r="D452" s="30"/>
    </row>
    <row r="453" spans="1:4" ht="16">
      <c r="A453" s="37"/>
      <c r="B453" s="37"/>
      <c r="C453" s="30"/>
      <c r="D453" s="30"/>
    </row>
    <row r="454" spans="1:4" ht="16">
      <c r="A454" s="37"/>
      <c r="B454" s="37"/>
      <c r="C454" s="30"/>
      <c r="D454" s="30"/>
    </row>
    <row r="455" spans="1:4" ht="16">
      <c r="A455" s="37"/>
      <c r="B455" s="37"/>
      <c r="C455" s="30"/>
      <c r="D455" s="30"/>
    </row>
    <row r="456" spans="1:4" ht="16">
      <c r="A456" s="37"/>
      <c r="B456" s="37"/>
      <c r="C456" s="30"/>
      <c r="D456" s="30"/>
    </row>
    <row r="457" spans="1:4" ht="16">
      <c r="A457" s="37"/>
      <c r="B457" s="37"/>
      <c r="C457" s="30"/>
      <c r="D457" s="30"/>
    </row>
    <row r="458" spans="1:4" ht="16">
      <c r="A458" s="37"/>
      <c r="B458" s="37"/>
      <c r="C458" s="30"/>
      <c r="D458" s="30"/>
    </row>
    <row r="459" spans="1:4" ht="16">
      <c r="A459" s="37"/>
      <c r="B459" s="37"/>
      <c r="C459" s="30"/>
      <c r="D459" s="30"/>
    </row>
    <row r="460" spans="1:4" ht="16">
      <c r="A460" s="37"/>
      <c r="B460" s="37"/>
      <c r="C460" s="30"/>
      <c r="D460" s="30"/>
    </row>
    <row r="461" spans="1:4" ht="16">
      <c r="A461" s="37"/>
      <c r="B461" s="37"/>
      <c r="C461" s="30"/>
      <c r="D461" s="30"/>
    </row>
    <row r="462" spans="1:4" ht="16">
      <c r="A462" s="37"/>
      <c r="B462" s="37"/>
      <c r="C462" s="30"/>
      <c r="D462" s="30"/>
    </row>
    <row r="463" spans="1:4" ht="16">
      <c r="A463" s="37"/>
      <c r="B463" s="37"/>
      <c r="C463" s="30"/>
      <c r="D463" s="30"/>
    </row>
    <row r="464" spans="1:4" ht="16">
      <c r="A464" s="37"/>
      <c r="B464" s="37"/>
      <c r="C464" s="30"/>
      <c r="D464" s="30"/>
    </row>
    <row r="465" spans="1:4" ht="16">
      <c r="A465" s="37"/>
      <c r="B465" s="37"/>
      <c r="C465" s="30"/>
      <c r="D465" s="30"/>
    </row>
    <row r="466" spans="1:4" ht="16">
      <c r="A466" s="37"/>
      <c r="B466" s="37"/>
      <c r="C466" s="30"/>
      <c r="D466" s="30"/>
    </row>
    <row r="467" spans="1:4" ht="16">
      <c r="A467" s="37"/>
      <c r="B467" s="37"/>
      <c r="C467" s="30"/>
      <c r="D467" s="30"/>
    </row>
    <row r="468" spans="1:4" ht="16">
      <c r="A468" s="37"/>
      <c r="B468" s="37"/>
      <c r="C468" s="30"/>
      <c r="D468" s="30"/>
    </row>
    <row r="469" spans="1:4" ht="16">
      <c r="A469" s="37"/>
      <c r="B469" s="37"/>
      <c r="C469" s="30"/>
      <c r="D469" s="30"/>
    </row>
    <row r="470" spans="1:4" ht="16">
      <c r="A470" s="37"/>
      <c r="B470" s="37"/>
      <c r="C470" s="30"/>
      <c r="D470" s="30"/>
    </row>
    <row r="471" spans="1:4" ht="16">
      <c r="A471" s="37"/>
      <c r="B471" s="37"/>
      <c r="C471" s="30"/>
      <c r="D471" s="30"/>
    </row>
    <row r="472" spans="1:4" ht="16">
      <c r="A472" s="37"/>
      <c r="B472" s="37"/>
      <c r="C472" s="30"/>
      <c r="D472" s="30"/>
    </row>
    <row r="473" spans="1:4" ht="16">
      <c r="A473" s="37"/>
      <c r="B473" s="37"/>
      <c r="C473" s="30"/>
      <c r="D473" s="30"/>
    </row>
    <row r="474" spans="1:4" ht="16">
      <c r="A474" s="37"/>
      <c r="B474" s="37"/>
      <c r="C474" s="30"/>
      <c r="D474" s="30"/>
    </row>
    <row r="475" spans="1:4" ht="16">
      <c r="A475" s="37"/>
      <c r="B475" s="37"/>
      <c r="C475" s="30"/>
      <c r="D475" s="30"/>
    </row>
    <row r="476" spans="1:4" ht="16">
      <c r="A476" s="37"/>
      <c r="B476" s="37"/>
      <c r="C476" s="30"/>
      <c r="D476" s="30"/>
    </row>
    <row r="477" spans="1:4" ht="16">
      <c r="A477" s="37"/>
      <c r="B477" s="37"/>
      <c r="C477" s="30"/>
      <c r="D477" s="30"/>
    </row>
    <row r="478" spans="1:4" ht="16">
      <c r="A478" s="37"/>
      <c r="B478" s="37"/>
      <c r="C478" s="30"/>
      <c r="D478" s="30"/>
    </row>
    <row r="479" spans="1:4" ht="16">
      <c r="A479" s="37"/>
      <c r="B479" s="37"/>
      <c r="C479" s="30"/>
      <c r="D479" s="30"/>
    </row>
    <row r="480" spans="1:4" ht="16">
      <c r="A480" s="37"/>
      <c r="B480" s="37"/>
      <c r="C480" s="30"/>
      <c r="D480" s="30"/>
    </row>
    <row r="481" spans="1:4" ht="16">
      <c r="A481" s="37"/>
      <c r="B481" s="37"/>
      <c r="C481" s="30"/>
      <c r="D481" s="30"/>
    </row>
    <row r="482" spans="1:4" ht="16">
      <c r="A482" s="37"/>
      <c r="B482" s="37"/>
      <c r="C482" s="30"/>
      <c r="D482" s="30"/>
    </row>
    <row r="483" spans="1:4" ht="16">
      <c r="A483" s="37"/>
      <c r="B483" s="37"/>
      <c r="C483" s="30"/>
      <c r="D483" s="30"/>
    </row>
    <row r="484" spans="1:4" ht="16">
      <c r="A484" s="37"/>
      <c r="B484" s="37"/>
      <c r="C484" s="30"/>
      <c r="D484" s="30"/>
    </row>
    <row r="485" spans="1:4" ht="16">
      <c r="A485" s="37"/>
      <c r="B485" s="37"/>
      <c r="C485" s="30"/>
      <c r="D485" s="30"/>
    </row>
    <row r="486" spans="1:4" ht="16">
      <c r="A486" s="37"/>
      <c r="B486" s="37"/>
      <c r="C486" s="30"/>
      <c r="D486" s="30"/>
    </row>
    <row r="487" spans="1:4" ht="16">
      <c r="A487" s="37"/>
      <c r="B487" s="37"/>
      <c r="C487" s="30"/>
      <c r="D487" s="30"/>
    </row>
    <row r="488" spans="1:4" ht="16">
      <c r="A488" s="37"/>
      <c r="B488" s="37"/>
      <c r="C488" s="30"/>
      <c r="D488" s="30"/>
    </row>
    <row r="489" spans="1:4" ht="16">
      <c r="A489" s="37"/>
      <c r="B489" s="37"/>
      <c r="C489" s="30"/>
      <c r="D489" s="30"/>
    </row>
    <row r="490" spans="1:4" ht="16">
      <c r="A490" s="37"/>
      <c r="B490" s="37"/>
      <c r="C490" s="30"/>
      <c r="D490" s="30"/>
    </row>
    <row r="491" spans="1:4" ht="16">
      <c r="A491" s="37"/>
      <c r="B491" s="37"/>
      <c r="C491" s="30"/>
      <c r="D491" s="30"/>
    </row>
    <row r="492" spans="1:4" ht="16">
      <c r="A492" s="37"/>
      <c r="B492" s="37"/>
      <c r="C492" s="30"/>
      <c r="D492" s="30"/>
    </row>
    <row r="493" spans="1:4" ht="16">
      <c r="A493" s="37"/>
      <c r="B493" s="37"/>
      <c r="C493" s="30"/>
      <c r="D493" s="30"/>
    </row>
    <row r="494" spans="1:4" ht="16">
      <c r="A494" s="37"/>
      <c r="B494" s="37"/>
      <c r="C494" s="30"/>
      <c r="D494" s="30"/>
    </row>
    <row r="495" spans="1:4" ht="16">
      <c r="A495" s="37"/>
      <c r="B495" s="37"/>
      <c r="C495" s="30"/>
      <c r="D495" s="30"/>
    </row>
    <row r="496" spans="1:4" ht="16">
      <c r="A496" s="37"/>
      <c r="B496" s="37"/>
      <c r="C496" s="30"/>
      <c r="D496" s="30"/>
    </row>
    <row r="497" spans="1:4" ht="16">
      <c r="A497" s="37"/>
      <c r="B497" s="37"/>
      <c r="C497" s="30"/>
      <c r="D497" s="30"/>
    </row>
    <row r="498" spans="1:4" ht="16">
      <c r="A498" s="37"/>
      <c r="B498" s="37"/>
      <c r="C498" s="30"/>
      <c r="D498" s="30"/>
    </row>
    <row r="499" spans="1:4" ht="16">
      <c r="A499" s="37"/>
      <c r="B499" s="37"/>
      <c r="C499" s="30"/>
      <c r="D499" s="30"/>
    </row>
    <row r="500" spans="1:4" ht="16">
      <c r="A500" s="37"/>
      <c r="B500" s="37"/>
      <c r="C500" s="30"/>
      <c r="D500" s="30"/>
    </row>
    <row r="501" spans="1:4" ht="16">
      <c r="A501" s="37"/>
      <c r="B501" s="37"/>
      <c r="C501" s="30"/>
      <c r="D501" s="30"/>
    </row>
    <row r="502" spans="1:4" ht="16">
      <c r="A502" s="37"/>
      <c r="B502" s="37"/>
      <c r="C502" s="30"/>
      <c r="D502" s="30"/>
    </row>
    <row r="503" spans="1:4" ht="16">
      <c r="A503" s="37"/>
      <c r="B503" s="37"/>
      <c r="C503" s="30"/>
      <c r="D503" s="30"/>
    </row>
    <row r="504" spans="1:4" ht="16">
      <c r="A504" s="37"/>
      <c r="B504" s="37"/>
      <c r="C504" s="30"/>
      <c r="D504" s="30"/>
    </row>
    <row r="505" spans="1:4" ht="16">
      <c r="A505" s="37"/>
      <c r="B505" s="37"/>
      <c r="C505" s="30"/>
      <c r="D505" s="30"/>
    </row>
    <row r="506" spans="1:4" ht="16">
      <c r="A506" s="37"/>
      <c r="B506" s="37"/>
      <c r="C506" s="30"/>
      <c r="D506" s="30"/>
    </row>
    <row r="507" spans="1:4" ht="16">
      <c r="A507" s="37"/>
      <c r="B507" s="37"/>
      <c r="C507" s="30"/>
      <c r="D507" s="30"/>
    </row>
    <row r="508" spans="1:4" ht="16">
      <c r="A508" s="37"/>
      <c r="B508" s="37"/>
      <c r="C508" s="30"/>
      <c r="D508" s="30"/>
    </row>
    <row r="509" spans="1:4" ht="16">
      <c r="A509" s="37"/>
      <c r="B509" s="37"/>
      <c r="C509" s="30"/>
      <c r="D509" s="30"/>
    </row>
    <row r="510" spans="1:4" ht="16">
      <c r="A510" s="37"/>
      <c r="B510" s="37"/>
      <c r="C510" s="30"/>
      <c r="D510" s="30"/>
    </row>
    <row r="511" spans="1:4" ht="16">
      <c r="A511" s="37"/>
      <c r="B511" s="37"/>
      <c r="C511" s="30"/>
      <c r="D511" s="30"/>
    </row>
    <row r="512" spans="1:4" ht="16">
      <c r="A512" s="37"/>
      <c r="B512" s="37"/>
      <c r="C512" s="30"/>
      <c r="D512" s="30"/>
    </row>
    <row r="513" spans="1:4" ht="16">
      <c r="A513" s="37"/>
      <c r="B513" s="37"/>
      <c r="C513" s="30"/>
      <c r="D513" s="30"/>
    </row>
    <row r="514" spans="1:4" ht="16">
      <c r="A514" s="37"/>
      <c r="B514" s="37"/>
      <c r="C514" s="30"/>
      <c r="D514" s="30"/>
    </row>
    <row r="515" spans="1:4" ht="16">
      <c r="A515" s="37"/>
      <c r="B515" s="37"/>
      <c r="C515" s="30"/>
      <c r="D515" s="30"/>
    </row>
    <row r="516" spans="1:4" ht="16">
      <c r="A516" s="37"/>
      <c r="B516" s="37"/>
      <c r="C516" s="30"/>
      <c r="D516" s="30"/>
    </row>
    <row r="517" spans="1:4" ht="16">
      <c r="A517" s="37"/>
      <c r="B517" s="37"/>
      <c r="C517" s="30"/>
      <c r="D517" s="30"/>
    </row>
    <row r="518" spans="1:4" ht="16">
      <c r="A518" s="37"/>
      <c r="B518" s="37"/>
      <c r="C518" s="30"/>
      <c r="D518" s="30"/>
    </row>
    <row r="519" spans="1:4" ht="16">
      <c r="A519" s="37"/>
      <c r="B519" s="37"/>
      <c r="C519" s="30"/>
      <c r="D519" s="30"/>
    </row>
    <row r="520" spans="1:4" ht="16">
      <c r="A520" s="37"/>
      <c r="B520" s="37"/>
      <c r="C520" s="30"/>
      <c r="D520" s="30"/>
    </row>
    <row r="521" spans="1:4" ht="16">
      <c r="A521" s="37"/>
      <c r="B521" s="37"/>
      <c r="C521" s="30"/>
      <c r="D521" s="30"/>
    </row>
    <row r="522" spans="1:4" ht="16">
      <c r="A522" s="37"/>
      <c r="B522" s="37"/>
      <c r="C522" s="30"/>
      <c r="D522" s="30"/>
    </row>
    <row r="523" spans="1:4" ht="16">
      <c r="A523" s="37"/>
      <c r="B523" s="37"/>
      <c r="C523" s="30"/>
      <c r="D523" s="30"/>
    </row>
    <row r="524" spans="1:4" ht="16">
      <c r="A524" s="37"/>
      <c r="B524" s="37"/>
      <c r="C524" s="30"/>
      <c r="D524" s="30"/>
    </row>
    <row r="525" spans="1:4" ht="16">
      <c r="A525" s="37"/>
      <c r="B525" s="37"/>
      <c r="C525" s="30"/>
      <c r="D525" s="30"/>
    </row>
    <row r="526" spans="1:4" ht="16">
      <c r="A526" s="37"/>
      <c r="B526" s="37"/>
      <c r="C526" s="30"/>
      <c r="D526" s="30"/>
    </row>
    <row r="527" spans="1:4" ht="16">
      <c r="A527" s="37"/>
      <c r="B527" s="37"/>
      <c r="C527" s="30"/>
      <c r="D527" s="30"/>
    </row>
    <row r="528" spans="1:4" ht="16">
      <c r="A528" s="37"/>
      <c r="B528" s="37"/>
      <c r="C528" s="30"/>
      <c r="D528" s="30"/>
    </row>
    <row r="529" spans="1:4" ht="16">
      <c r="A529" s="37"/>
      <c r="B529" s="37"/>
      <c r="C529" s="30"/>
      <c r="D529" s="30"/>
    </row>
    <row r="530" spans="1:4" ht="16">
      <c r="A530" s="37"/>
      <c r="B530" s="37"/>
      <c r="C530" s="30"/>
      <c r="D530" s="30"/>
    </row>
    <row r="531" spans="1:4" ht="16">
      <c r="A531" s="37"/>
      <c r="B531" s="37"/>
      <c r="C531" s="30"/>
      <c r="D531" s="30"/>
    </row>
    <row r="532" spans="1:4" ht="16">
      <c r="A532" s="37"/>
      <c r="B532" s="37"/>
      <c r="C532" s="30"/>
      <c r="D532" s="30"/>
    </row>
    <row r="533" spans="1:4" ht="16">
      <c r="A533" s="37"/>
      <c r="B533" s="37"/>
      <c r="C533" s="30"/>
      <c r="D533" s="30"/>
    </row>
    <row r="534" spans="1:4" ht="16">
      <c r="A534" s="37"/>
      <c r="B534" s="37"/>
      <c r="C534" s="30"/>
      <c r="D534" s="30"/>
    </row>
    <row r="535" spans="1:4" ht="16">
      <c r="A535" s="37"/>
      <c r="B535" s="37"/>
      <c r="C535" s="30"/>
      <c r="D535" s="30"/>
    </row>
    <row r="536" spans="1:4" ht="16">
      <c r="A536" s="37"/>
      <c r="B536" s="37"/>
      <c r="C536" s="30"/>
      <c r="D536" s="30"/>
    </row>
    <row r="537" spans="1:4" ht="16">
      <c r="A537" s="37"/>
      <c r="B537" s="37"/>
      <c r="C537" s="30"/>
      <c r="D537" s="30"/>
    </row>
    <row r="538" spans="1:4" ht="16">
      <c r="A538" s="37"/>
      <c r="B538" s="37"/>
      <c r="C538" s="30"/>
      <c r="D538" s="30"/>
    </row>
    <row r="539" spans="1:4" ht="16">
      <c r="A539" s="37"/>
      <c r="B539" s="37"/>
      <c r="C539" s="30"/>
      <c r="D539" s="30"/>
    </row>
    <row r="540" spans="1:4" ht="16">
      <c r="A540" s="37"/>
      <c r="B540" s="37"/>
      <c r="C540" s="30"/>
      <c r="D540" s="30"/>
    </row>
    <row r="541" spans="1:4" ht="16">
      <c r="A541" s="37"/>
      <c r="B541" s="37"/>
      <c r="C541" s="30"/>
      <c r="D541" s="30"/>
    </row>
    <row r="542" spans="1:4" ht="16">
      <c r="A542" s="37"/>
      <c r="B542" s="37"/>
      <c r="C542" s="30"/>
      <c r="D542" s="30"/>
    </row>
    <row r="543" spans="1:4" ht="16">
      <c r="A543" s="37"/>
      <c r="B543" s="37"/>
      <c r="C543" s="30"/>
      <c r="D543" s="30"/>
    </row>
    <row r="544" spans="1:4" ht="16">
      <c r="A544" s="37"/>
      <c r="B544" s="37"/>
      <c r="C544" s="30"/>
      <c r="D544" s="30"/>
    </row>
    <row r="545" spans="1:4" ht="16">
      <c r="A545" s="37"/>
      <c r="B545" s="37"/>
      <c r="C545" s="30"/>
      <c r="D545" s="30"/>
    </row>
    <row r="546" spans="1:4" ht="16">
      <c r="A546" s="37"/>
      <c r="B546" s="37"/>
      <c r="C546" s="30"/>
      <c r="D546" s="30"/>
    </row>
    <row r="547" spans="1:4" ht="16">
      <c r="A547" s="37"/>
      <c r="B547" s="37"/>
      <c r="C547" s="30"/>
      <c r="D547" s="30"/>
    </row>
    <row r="548" spans="1:4" ht="16">
      <c r="A548" s="37"/>
      <c r="B548" s="37"/>
      <c r="C548" s="30"/>
      <c r="D548" s="30"/>
    </row>
    <row r="549" spans="1:4" ht="16">
      <c r="A549" s="37"/>
      <c r="B549" s="37"/>
      <c r="C549" s="30"/>
      <c r="D549" s="30"/>
    </row>
    <row r="550" spans="1:4" ht="16">
      <c r="A550" s="37"/>
      <c r="B550" s="37"/>
      <c r="C550" s="30"/>
      <c r="D550" s="30"/>
    </row>
    <row r="551" spans="1:4" ht="16">
      <c r="A551" s="37"/>
      <c r="B551" s="37"/>
      <c r="C551" s="30"/>
      <c r="D551" s="30"/>
    </row>
    <row r="552" spans="1:4" ht="16">
      <c r="A552" s="37"/>
      <c r="B552" s="37"/>
      <c r="C552" s="30"/>
      <c r="D552" s="30"/>
    </row>
    <row r="553" spans="1:4" ht="16">
      <c r="A553" s="37"/>
      <c r="B553" s="37"/>
      <c r="C553" s="30"/>
      <c r="D553" s="30"/>
    </row>
    <row r="554" spans="1:4" ht="16">
      <c r="A554" s="37"/>
      <c r="B554" s="37"/>
      <c r="C554" s="30"/>
      <c r="D554" s="30"/>
    </row>
    <row r="555" spans="1:4" ht="16">
      <c r="A555" s="37"/>
      <c r="B555" s="37"/>
      <c r="C555" s="30"/>
      <c r="D555" s="30"/>
    </row>
    <row r="556" spans="1:4" ht="16">
      <c r="A556" s="37"/>
      <c r="B556" s="37"/>
      <c r="C556" s="30"/>
      <c r="D556" s="30"/>
    </row>
    <row r="557" spans="1:4" ht="16">
      <c r="A557" s="37"/>
      <c r="B557" s="37"/>
      <c r="C557" s="30"/>
      <c r="D557" s="30"/>
    </row>
    <row r="558" spans="1:4" ht="16">
      <c r="A558" s="37"/>
      <c r="B558" s="37"/>
      <c r="C558" s="30"/>
      <c r="D558" s="30"/>
    </row>
    <row r="559" spans="1:4" ht="16">
      <c r="A559" s="37"/>
      <c r="B559" s="37"/>
      <c r="C559" s="30"/>
      <c r="D559" s="30"/>
    </row>
    <row r="560" spans="1:4" ht="16">
      <c r="A560" s="37"/>
      <c r="B560" s="37"/>
      <c r="C560" s="30"/>
      <c r="D560" s="30"/>
    </row>
    <row r="561" spans="1:4" ht="16">
      <c r="A561" s="37"/>
      <c r="B561" s="37"/>
      <c r="C561" s="30"/>
      <c r="D561" s="30"/>
    </row>
    <row r="562" spans="1:4" ht="16">
      <c r="A562" s="37"/>
      <c r="B562" s="37"/>
      <c r="C562" s="30"/>
      <c r="D562" s="30"/>
    </row>
    <row r="563" spans="1:4" ht="16">
      <c r="A563" s="37"/>
      <c r="B563" s="37"/>
      <c r="C563" s="30"/>
      <c r="D563" s="30"/>
    </row>
    <row r="564" spans="1:4" ht="16">
      <c r="A564" s="37"/>
      <c r="B564" s="37"/>
      <c r="C564" s="30"/>
      <c r="D564" s="30"/>
    </row>
    <row r="565" spans="1:4" ht="16">
      <c r="A565" s="37"/>
      <c r="B565" s="37"/>
      <c r="C565" s="30"/>
      <c r="D565" s="30"/>
    </row>
    <row r="566" spans="1:4" ht="16">
      <c r="A566" s="37"/>
      <c r="B566" s="37"/>
      <c r="C566" s="30"/>
      <c r="D566" s="30"/>
    </row>
    <row r="567" spans="1:4" ht="16">
      <c r="A567" s="37"/>
      <c r="B567" s="37"/>
      <c r="C567" s="30"/>
      <c r="D567" s="30"/>
    </row>
    <row r="568" spans="1:4" ht="16">
      <c r="A568" s="37"/>
      <c r="B568" s="37"/>
      <c r="C568" s="30"/>
      <c r="D568" s="30"/>
    </row>
    <row r="569" spans="1:4" ht="16">
      <c r="A569" s="37"/>
      <c r="B569" s="37"/>
      <c r="C569" s="30"/>
      <c r="D569" s="30"/>
    </row>
    <row r="570" spans="1:4" ht="16">
      <c r="A570" s="37"/>
      <c r="B570" s="37"/>
      <c r="C570" s="30"/>
      <c r="D570" s="30"/>
    </row>
    <row r="571" spans="1:4" ht="16">
      <c r="A571" s="37"/>
      <c r="B571" s="37"/>
      <c r="C571" s="30"/>
      <c r="D571" s="30"/>
    </row>
    <row r="572" spans="1:4" ht="16">
      <c r="A572" s="37"/>
      <c r="B572" s="37"/>
      <c r="C572" s="30"/>
      <c r="D572" s="30"/>
    </row>
    <row r="573" spans="1:4" ht="16">
      <c r="A573" s="37"/>
      <c r="B573" s="37"/>
      <c r="C573" s="30"/>
      <c r="D573" s="30"/>
    </row>
    <row r="574" spans="1:4" ht="16">
      <c r="A574" s="37"/>
      <c r="B574" s="37"/>
      <c r="C574" s="30"/>
      <c r="D574" s="30"/>
    </row>
    <row r="575" spans="1:4" ht="16">
      <c r="A575" s="37"/>
      <c r="B575" s="37"/>
      <c r="C575" s="30"/>
      <c r="D575" s="30"/>
    </row>
    <row r="576" spans="1:4" ht="16">
      <c r="A576" s="37"/>
      <c r="B576" s="37"/>
      <c r="C576" s="30"/>
      <c r="D576" s="30"/>
    </row>
    <row r="577" spans="1:4" ht="16">
      <c r="A577" s="37"/>
      <c r="B577" s="37"/>
      <c r="C577" s="30"/>
      <c r="D577" s="30"/>
    </row>
    <row r="578" spans="1:4" ht="16">
      <c r="A578" s="37"/>
      <c r="B578" s="37"/>
      <c r="C578" s="30"/>
      <c r="D578" s="30"/>
    </row>
    <row r="579" spans="1:4" ht="16">
      <c r="A579" s="37"/>
      <c r="B579" s="37"/>
      <c r="C579" s="30"/>
      <c r="D579" s="30"/>
    </row>
    <row r="580" spans="1:4" ht="16">
      <c r="A580" s="37"/>
      <c r="B580" s="37"/>
      <c r="C580" s="30"/>
      <c r="D580" s="30"/>
    </row>
    <row r="581" spans="1:4" ht="16">
      <c r="A581" s="37"/>
      <c r="B581" s="37"/>
      <c r="C581" s="30"/>
      <c r="D581" s="30"/>
    </row>
    <row r="582" spans="1:4" ht="16">
      <c r="A582" s="37"/>
      <c r="B582" s="37"/>
      <c r="C582" s="30"/>
      <c r="D582" s="30"/>
    </row>
    <row r="583" spans="1:4" ht="16">
      <c r="A583" s="37"/>
      <c r="B583" s="37"/>
      <c r="C583" s="30"/>
      <c r="D583" s="30"/>
    </row>
    <row r="584" spans="1:4" ht="16">
      <c r="A584" s="37"/>
      <c r="B584" s="37"/>
      <c r="C584" s="30"/>
      <c r="D584" s="30"/>
    </row>
    <row r="585" spans="1:4" ht="16">
      <c r="A585" s="37"/>
      <c r="B585" s="37"/>
      <c r="C585" s="30"/>
      <c r="D585" s="30"/>
    </row>
    <row r="586" spans="1:4" ht="16">
      <c r="A586" s="37"/>
      <c r="B586" s="37"/>
      <c r="C586" s="30"/>
      <c r="D586" s="30"/>
    </row>
    <row r="587" spans="1:4" ht="16">
      <c r="A587" s="37"/>
      <c r="B587" s="37"/>
      <c r="C587" s="30"/>
      <c r="D587" s="30"/>
    </row>
    <row r="588" spans="1:4" ht="16">
      <c r="A588" s="37"/>
      <c r="B588" s="37"/>
      <c r="C588" s="30"/>
      <c r="D588" s="30"/>
    </row>
    <row r="589" spans="1:4" ht="16">
      <c r="A589" s="37"/>
      <c r="B589" s="37"/>
      <c r="C589" s="30"/>
      <c r="D589" s="30"/>
    </row>
    <row r="590" spans="1:4" ht="16">
      <c r="A590" s="37"/>
      <c r="B590" s="37"/>
      <c r="C590" s="30"/>
      <c r="D590" s="30"/>
    </row>
    <row r="591" spans="1:4" ht="16">
      <c r="A591" s="37"/>
      <c r="B591" s="37"/>
      <c r="C591" s="30"/>
      <c r="D591" s="30"/>
    </row>
    <row r="592" spans="1:4" ht="16">
      <c r="A592" s="37"/>
      <c r="B592" s="37"/>
      <c r="C592" s="30"/>
      <c r="D592" s="30"/>
    </row>
    <row r="593" spans="1:4" ht="16">
      <c r="A593" s="37"/>
      <c r="B593" s="37"/>
      <c r="C593" s="30"/>
      <c r="D593" s="30"/>
    </row>
    <row r="594" spans="1:4" ht="16">
      <c r="A594" s="37"/>
      <c r="B594" s="37"/>
      <c r="C594" s="30"/>
      <c r="D594" s="30"/>
    </row>
    <row r="595" spans="1:4" ht="16">
      <c r="A595" s="37"/>
      <c r="B595" s="37"/>
      <c r="C595" s="30"/>
      <c r="D595" s="30"/>
    </row>
    <row r="596" spans="1:4" ht="16">
      <c r="A596" s="37"/>
      <c r="B596" s="37"/>
      <c r="C596" s="30"/>
      <c r="D596" s="30"/>
    </row>
    <row r="597" spans="1:4" ht="16">
      <c r="A597" s="37"/>
      <c r="B597" s="37"/>
      <c r="C597" s="30"/>
      <c r="D597" s="30"/>
    </row>
    <row r="598" spans="1:4" ht="16">
      <c r="A598" s="37"/>
      <c r="B598" s="37"/>
      <c r="C598" s="30"/>
      <c r="D598" s="30"/>
    </row>
    <row r="599" spans="1:4" ht="16">
      <c r="A599" s="37"/>
      <c r="B599" s="37"/>
      <c r="C599" s="30"/>
      <c r="D599" s="30"/>
    </row>
    <row r="600" spans="1:4" ht="16">
      <c r="A600" s="37"/>
      <c r="B600" s="37"/>
      <c r="C600" s="30"/>
      <c r="D600" s="30"/>
    </row>
    <row r="601" spans="1:4" ht="16">
      <c r="A601" s="37"/>
      <c r="B601" s="37"/>
      <c r="C601" s="30"/>
      <c r="D601" s="30"/>
    </row>
    <row r="602" spans="1:4" ht="16">
      <c r="A602" s="37"/>
      <c r="B602" s="37"/>
      <c r="C602" s="30"/>
      <c r="D602" s="30"/>
    </row>
    <row r="603" spans="1:4" ht="16">
      <c r="A603" s="37"/>
      <c r="B603" s="37"/>
      <c r="C603" s="30"/>
      <c r="D603" s="30"/>
    </row>
    <row r="604" spans="1:4" ht="16">
      <c r="A604" s="37"/>
      <c r="B604" s="37"/>
      <c r="C604" s="30"/>
      <c r="D604" s="30"/>
    </row>
    <row r="605" spans="1:4" ht="16">
      <c r="A605" s="37"/>
      <c r="B605" s="37"/>
      <c r="C605" s="30"/>
      <c r="D605" s="30"/>
    </row>
    <row r="606" spans="1:4" ht="16">
      <c r="A606" s="37"/>
      <c r="B606" s="37"/>
      <c r="C606" s="30"/>
      <c r="D606" s="30"/>
    </row>
    <row r="607" spans="1:4" ht="16">
      <c r="A607" s="37"/>
      <c r="B607" s="37"/>
      <c r="C607" s="30"/>
      <c r="D607" s="30"/>
    </row>
    <row r="608" spans="1:4" ht="16">
      <c r="A608" s="37"/>
      <c r="B608" s="37"/>
      <c r="C608" s="30"/>
      <c r="D608" s="30"/>
    </row>
    <row r="609" spans="1:4" ht="16">
      <c r="A609" s="37"/>
      <c r="B609" s="37"/>
      <c r="C609" s="30"/>
      <c r="D609" s="30"/>
    </row>
    <row r="610" spans="1:4" ht="16">
      <c r="A610" s="37"/>
      <c r="B610" s="37"/>
      <c r="C610" s="30"/>
      <c r="D610" s="30"/>
    </row>
    <row r="611" spans="1:4" ht="16">
      <c r="A611" s="37"/>
      <c r="B611" s="37"/>
      <c r="C611" s="30"/>
      <c r="D611" s="30"/>
    </row>
    <row r="612" spans="1:4" ht="16">
      <c r="A612" s="37"/>
      <c r="B612" s="37"/>
      <c r="C612" s="30"/>
      <c r="D612" s="30"/>
    </row>
    <row r="613" spans="1:4" ht="16">
      <c r="A613" s="37"/>
      <c r="B613" s="37"/>
      <c r="C613" s="30"/>
      <c r="D613" s="30"/>
    </row>
    <row r="614" spans="1:4" ht="16">
      <c r="A614" s="37"/>
      <c r="B614" s="37"/>
      <c r="C614" s="30"/>
      <c r="D614" s="30"/>
    </row>
    <row r="615" spans="1:4" ht="16">
      <c r="A615" s="37"/>
      <c r="B615" s="37"/>
      <c r="C615" s="30"/>
      <c r="D615" s="30"/>
    </row>
    <row r="616" spans="1:4" ht="16">
      <c r="A616" s="37"/>
      <c r="B616" s="37"/>
      <c r="C616" s="30"/>
      <c r="D616" s="30"/>
    </row>
    <row r="617" spans="1:4" ht="16">
      <c r="A617" s="37"/>
      <c r="B617" s="37"/>
      <c r="C617" s="30"/>
      <c r="D617" s="30"/>
    </row>
    <row r="618" spans="1:4" ht="16">
      <c r="A618" s="37"/>
      <c r="B618" s="37"/>
      <c r="C618" s="30"/>
      <c r="D618" s="30"/>
    </row>
    <row r="619" spans="1:4" ht="16">
      <c r="A619" s="37"/>
      <c r="B619" s="37"/>
      <c r="C619" s="30"/>
      <c r="D619" s="30"/>
    </row>
    <row r="620" spans="1:4" ht="16">
      <c r="A620" s="37"/>
      <c r="B620" s="37"/>
      <c r="C620" s="30"/>
      <c r="D620" s="30"/>
    </row>
    <row r="621" spans="1:4" ht="16">
      <c r="A621" s="37"/>
      <c r="B621" s="37"/>
      <c r="C621" s="30"/>
      <c r="D621" s="30"/>
    </row>
    <row r="622" spans="1:4" ht="16">
      <c r="A622" s="37"/>
      <c r="B622" s="37"/>
      <c r="C622" s="30"/>
      <c r="D622" s="30"/>
    </row>
    <row r="623" spans="1:4" ht="16">
      <c r="A623" s="37"/>
      <c r="B623" s="37"/>
      <c r="C623" s="30"/>
      <c r="D623" s="30"/>
    </row>
    <row r="624" spans="1:4" ht="16">
      <c r="A624" s="37"/>
      <c r="B624" s="37"/>
      <c r="C624" s="30"/>
      <c r="D624" s="30"/>
    </row>
    <row r="625" spans="1:4" ht="16">
      <c r="A625" s="37"/>
      <c r="B625" s="37"/>
      <c r="C625" s="30"/>
      <c r="D625" s="30"/>
    </row>
    <row r="626" spans="1:4" ht="16">
      <c r="A626" s="37"/>
      <c r="B626" s="37"/>
      <c r="C626" s="30"/>
      <c r="D626" s="30"/>
    </row>
    <row r="627" spans="1:4" ht="16">
      <c r="A627" s="37"/>
      <c r="B627" s="37"/>
      <c r="C627" s="30"/>
      <c r="D627" s="30"/>
    </row>
    <row r="628" spans="1:4" ht="16">
      <c r="A628" s="37"/>
      <c r="B628" s="37"/>
      <c r="C628" s="30"/>
      <c r="D628" s="30"/>
    </row>
    <row r="629" spans="1:4" ht="16">
      <c r="A629" s="37"/>
      <c r="B629" s="37"/>
      <c r="C629" s="30"/>
      <c r="D629" s="30"/>
    </row>
    <row r="630" spans="1:4" ht="16">
      <c r="A630" s="37"/>
      <c r="B630" s="37"/>
      <c r="C630" s="30"/>
      <c r="D630" s="30"/>
    </row>
    <row r="631" spans="1:4" ht="16">
      <c r="A631" s="37"/>
      <c r="B631" s="37"/>
      <c r="C631" s="30"/>
      <c r="D631" s="30"/>
    </row>
    <row r="632" spans="1:4" ht="16">
      <c r="A632" s="37"/>
      <c r="B632" s="37"/>
      <c r="C632" s="30"/>
      <c r="D632" s="30"/>
    </row>
    <row r="633" spans="1:4" ht="16">
      <c r="A633" s="37"/>
      <c r="B633" s="37"/>
      <c r="C633" s="30"/>
      <c r="D633" s="30"/>
    </row>
    <row r="634" spans="1:4" ht="16">
      <c r="A634" s="37"/>
      <c r="B634" s="37"/>
      <c r="C634" s="30"/>
      <c r="D634" s="30"/>
    </row>
    <row r="635" spans="1:4" ht="16">
      <c r="A635" s="37"/>
      <c r="B635" s="37"/>
      <c r="C635" s="30"/>
      <c r="D635" s="30"/>
    </row>
    <row r="636" spans="1:4" ht="16">
      <c r="A636" s="37"/>
      <c r="B636" s="37"/>
      <c r="C636" s="30"/>
      <c r="D636" s="30"/>
    </row>
    <row r="637" spans="1:4" ht="16">
      <c r="A637" s="37"/>
      <c r="B637" s="37"/>
      <c r="C637" s="30"/>
      <c r="D637" s="30"/>
    </row>
    <row r="638" spans="1:4" ht="16">
      <c r="A638" s="37"/>
      <c r="B638" s="37"/>
      <c r="C638" s="30"/>
      <c r="D638" s="30"/>
    </row>
    <row r="639" spans="1:4" ht="16">
      <c r="A639" s="37"/>
      <c r="B639" s="37"/>
      <c r="C639" s="30"/>
      <c r="D639" s="30"/>
    </row>
    <row r="640" spans="1:4" ht="16">
      <c r="A640" s="37"/>
      <c r="B640" s="37"/>
      <c r="C640" s="30"/>
      <c r="D640" s="30"/>
    </row>
    <row r="641" spans="1:4" ht="16">
      <c r="A641" s="37"/>
      <c r="B641" s="37"/>
      <c r="C641" s="30"/>
      <c r="D641" s="30"/>
    </row>
    <row r="642" spans="1:4" ht="16">
      <c r="A642" s="37"/>
      <c r="B642" s="37"/>
      <c r="C642" s="30"/>
      <c r="D642" s="30"/>
    </row>
    <row r="643" spans="1:4" ht="16">
      <c r="A643" s="37"/>
      <c r="B643" s="37"/>
      <c r="C643" s="30"/>
      <c r="D643" s="30"/>
    </row>
    <row r="644" spans="1:4" ht="16">
      <c r="A644" s="37"/>
      <c r="B644" s="37"/>
      <c r="C644" s="30"/>
      <c r="D644" s="30"/>
    </row>
    <row r="645" spans="1:4" ht="16">
      <c r="A645" s="37"/>
      <c r="B645" s="37"/>
      <c r="C645" s="30"/>
      <c r="D645" s="30"/>
    </row>
    <row r="646" spans="1:4" ht="16">
      <c r="A646" s="37"/>
      <c r="B646" s="37"/>
      <c r="C646" s="30"/>
      <c r="D646" s="30"/>
    </row>
    <row r="647" spans="1:4" ht="16">
      <c r="A647" s="37"/>
      <c r="B647" s="37"/>
      <c r="C647" s="30"/>
      <c r="D647" s="30"/>
    </row>
    <row r="648" spans="1:4" ht="16">
      <c r="A648" s="37"/>
      <c r="B648" s="37"/>
      <c r="C648" s="30"/>
      <c r="D648" s="30"/>
    </row>
    <row r="649" spans="1:4" ht="16">
      <c r="A649" s="37"/>
      <c r="B649" s="37"/>
      <c r="C649" s="30"/>
      <c r="D649" s="30"/>
    </row>
    <row r="650" spans="1:4" ht="16">
      <c r="A650" s="37"/>
      <c r="B650" s="37"/>
      <c r="C650" s="30"/>
      <c r="D650" s="30"/>
    </row>
    <row r="651" spans="1:4" ht="16">
      <c r="A651" s="37"/>
      <c r="B651" s="37"/>
      <c r="C651" s="30"/>
      <c r="D651" s="30"/>
    </row>
    <row r="652" spans="1:4" ht="16">
      <c r="A652" s="37"/>
      <c r="B652" s="37"/>
      <c r="C652" s="30"/>
      <c r="D652" s="30"/>
    </row>
    <row r="653" spans="1:4" ht="16">
      <c r="A653" s="37"/>
      <c r="B653" s="37"/>
      <c r="C653" s="30"/>
      <c r="D653" s="30"/>
    </row>
    <row r="654" spans="1:4" ht="16">
      <c r="A654" s="37"/>
      <c r="B654" s="37"/>
      <c r="C654" s="30"/>
      <c r="D654" s="30"/>
    </row>
    <row r="655" spans="1:4" ht="16">
      <c r="A655" s="37"/>
      <c r="B655" s="37"/>
      <c r="C655" s="30"/>
      <c r="D655" s="30"/>
    </row>
    <row r="656" spans="1:4" ht="16">
      <c r="A656" s="37"/>
      <c r="B656" s="37"/>
      <c r="C656" s="30"/>
      <c r="D656" s="30"/>
    </row>
    <row r="657" spans="1:4" ht="16">
      <c r="A657" s="37"/>
      <c r="B657" s="37"/>
      <c r="C657" s="30"/>
      <c r="D657" s="30"/>
    </row>
    <row r="658" spans="1:4" ht="16">
      <c r="A658" s="37"/>
      <c r="B658" s="37"/>
      <c r="C658" s="30"/>
      <c r="D658" s="30"/>
    </row>
    <row r="659" spans="1:4" ht="16">
      <c r="A659" s="37"/>
      <c r="B659" s="37"/>
      <c r="C659" s="30"/>
      <c r="D659" s="30"/>
    </row>
    <row r="660" spans="1:4" ht="16">
      <c r="A660" s="37"/>
      <c r="B660" s="37"/>
      <c r="C660" s="30"/>
      <c r="D660" s="30"/>
    </row>
    <row r="661" spans="1:4" ht="16">
      <c r="A661" s="37"/>
      <c r="B661" s="37"/>
      <c r="C661" s="30"/>
      <c r="D661" s="30"/>
    </row>
    <row r="662" spans="1:4" ht="16">
      <c r="A662" s="37"/>
      <c r="B662" s="37"/>
      <c r="C662" s="30"/>
      <c r="D662" s="30"/>
    </row>
    <row r="663" spans="1:4" ht="16">
      <c r="A663" s="37"/>
      <c r="B663" s="37"/>
      <c r="C663" s="30"/>
      <c r="D663" s="30"/>
    </row>
    <row r="664" spans="1:4" ht="16">
      <c r="A664" s="37"/>
      <c r="B664" s="37"/>
      <c r="C664" s="30"/>
      <c r="D664" s="30"/>
    </row>
    <row r="665" spans="1:4" ht="16">
      <c r="A665" s="37"/>
      <c r="B665" s="37"/>
      <c r="C665" s="30"/>
      <c r="D665" s="30"/>
    </row>
    <row r="666" spans="1:4" ht="16">
      <c r="A666" s="37"/>
      <c r="B666" s="37"/>
      <c r="C666" s="30"/>
      <c r="D666" s="30"/>
    </row>
    <row r="667" spans="1:4" ht="16">
      <c r="A667" s="37"/>
      <c r="B667" s="37"/>
      <c r="C667" s="30"/>
      <c r="D667" s="30"/>
    </row>
    <row r="668" spans="1:4" ht="16">
      <c r="A668" s="37"/>
      <c r="B668" s="37"/>
      <c r="C668" s="30"/>
      <c r="D668" s="30"/>
    </row>
    <row r="669" spans="1:4" ht="16">
      <c r="A669" s="37"/>
      <c r="B669" s="37"/>
      <c r="C669" s="30"/>
      <c r="D669" s="30"/>
    </row>
    <row r="670" spans="1:4" ht="16">
      <c r="A670" s="37"/>
      <c r="B670" s="37"/>
      <c r="C670" s="30"/>
      <c r="D670" s="30"/>
    </row>
    <row r="671" spans="1:4" ht="16">
      <c r="A671" s="37"/>
      <c r="B671" s="37"/>
      <c r="C671" s="30"/>
      <c r="D671" s="30"/>
    </row>
    <row r="672" spans="1:4" ht="16">
      <c r="A672" s="37"/>
      <c r="B672" s="37"/>
      <c r="C672" s="30"/>
      <c r="D672" s="30"/>
    </row>
    <row r="673" spans="1:4" ht="16">
      <c r="A673" s="37"/>
      <c r="B673" s="37"/>
      <c r="C673" s="30"/>
      <c r="D673" s="30"/>
    </row>
    <row r="674" spans="1:4" ht="16">
      <c r="A674" s="37"/>
      <c r="B674" s="37"/>
      <c r="C674" s="30"/>
      <c r="D674" s="30"/>
    </row>
    <row r="675" spans="1:4" ht="16">
      <c r="A675" s="37"/>
      <c r="B675" s="37"/>
      <c r="C675" s="30"/>
      <c r="D675" s="30"/>
    </row>
    <row r="676" spans="1:4" ht="16">
      <c r="A676" s="37"/>
      <c r="B676" s="37"/>
      <c r="C676" s="30"/>
      <c r="D676" s="30"/>
    </row>
    <row r="677" spans="1:4" ht="16">
      <c r="A677" s="37"/>
      <c r="B677" s="37"/>
      <c r="C677" s="30"/>
      <c r="D677" s="30"/>
    </row>
    <row r="678" spans="1:4" ht="16">
      <c r="A678" s="37"/>
      <c r="B678" s="37"/>
      <c r="C678" s="30"/>
      <c r="D678" s="30"/>
    </row>
    <row r="679" spans="1:4" ht="16">
      <c r="A679" s="37"/>
      <c r="B679" s="37"/>
      <c r="C679" s="30"/>
      <c r="D679" s="30"/>
    </row>
    <row r="680" spans="1:4" ht="16">
      <c r="A680" s="37"/>
      <c r="B680" s="37"/>
      <c r="C680" s="30"/>
      <c r="D680" s="30"/>
    </row>
    <row r="681" spans="1:4" ht="16">
      <c r="A681" s="37"/>
      <c r="B681" s="37"/>
      <c r="C681" s="30"/>
      <c r="D681" s="30"/>
    </row>
    <row r="682" spans="1:4" ht="16">
      <c r="A682" s="37"/>
      <c r="B682" s="37"/>
      <c r="C682" s="30"/>
      <c r="D682" s="30"/>
    </row>
    <row r="683" spans="1:4" ht="16">
      <c r="A683" s="37"/>
      <c r="B683" s="37"/>
      <c r="C683" s="30"/>
      <c r="D683" s="30"/>
    </row>
    <row r="684" spans="1:4" ht="16">
      <c r="A684" s="37"/>
      <c r="B684" s="37"/>
      <c r="C684" s="30"/>
      <c r="D684" s="30"/>
    </row>
    <row r="685" spans="1:4" ht="16">
      <c r="A685" s="37"/>
      <c r="B685" s="37"/>
      <c r="C685" s="30"/>
      <c r="D685" s="30"/>
    </row>
    <row r="686" spans="1:4" ht="16">
      <c r="A686" s="37"/>
      <c r="B686" s="37"/>
      <c r="C686" s="30"/>
      <c r="D686" s="30"/>
    </row>
    <row r="687" spans="1:4" ht="16">
      <c r="A687" s="37"/>
      <c r="B687" s="37"/>
      <c r="C687" s="30"/>
      <c r="D687" s="30"/>
    </row>
    <row r="688" spans="1:4" ht="16">
      <c r="A688" s="37"/>
      <c r="B688" s="37"/>
      <c r="C688" s="30"/>
      <c r="D688" s="30"/>
    </row>
    <row r="689" spans="1:4" ht="16">
      <c r="A689" s="37"/>
      <c r="B689" s="37"/>
      <c r="C689" s="30"/>
      <c r="D689" s="30"/>
    </row>
    <row r="690" spans="1:4" ht="16">
      <c r="A690" s="37"/>
      <c r="B690" s="37"/>
      <c r="C690" s="30"/>
      <c r="D690" s="30"/>
    </row>
    <row r="691" spans="1:4" ht="16">
      <c r="A691" s="37"/>
      <c r="B691" s="37"/>
      <c r="C691" s="30"/>
      <c r="D691" s="30"/>
    </row>
    <row r="692" spans="1:4" ht="16">
      <c r="A692" s="37"/>
      <c r="B692" s="37"/>
      <c r="C692" s="30"/>
      <c r="D692" s="30"/>
    </row>
    <row r="693" spans="1:4" ht="16">
      <c r="A693" s="37"/>
      <c r="B693" s="37"/>
      <c r="C693" s="30"/>
      <c r="D693" s="30"/>
    </row>
    <row r="694" spans="1:4" ht="16">
      <c r="A694" s="37"/>
      <c r="B694" s="37"/>
      <c r="C694" s="30"/>
      <c r="D694" s="30"/>
    </row>
    <row r="695" spans="1:4" ht="16">
      <c r="A695" s="37"/>
      <c r="B695" s="37"/>
      <c r="C695" s="30"/>
      <c r="D695" s="30"/>
    </row>
    <row r="696" spans="1:4" ht="16">
      <c r="A696" s="37"/>
      <c r="B696" s="37"/>
      <c r="C696" s="30"/>
      <c r="D696" s="30"/>
    </row>
    <row r="697" spans="1:4" ht="16">
      <c r="A697" s="37"/>
      <c r="B697" s="37"/>
      <c r="C697" s="30"/>
      <c r="D697" s="30"/>
    </row>
    <row r="698" spans="1:4" ht="16">
      <c r="A698" s="37"/>
      <c r="B698" s="37"/>
      <c r="C698" s="30"/>
      <c r="D698" s="30"/>
    </row>
    <row r="699" spans="1:4" ht="16">
      <c r="A699" s="37"/>
      <c r="B699" s="37"/>
      <c r="C699" s="30"/>
      <c r="D699" s="30"/>
    </row>
    <row r="700" spans="1:4" ht="16">
      <c r="A700" s="37"/>
      <c r="B700" s="37"/>
      <c r="C700" s="30"/>
      <c r="D700" s="30"/>
    </row>
    <row r="701" spans="1:4" ht="16">
      <c r="A701" s="37"/>
      <c r="B701" s="37"/>
      <c r="C701" s="30"/>
      <c r="D701" s="30"/>
    </row>
    <row r="702" spans="1:4" ht="16">
      <c r="A702" s="37"/>
      <c r="B702" s="37"/>
      <c r="C702" s="30"/>
      <c r="D702" s="30"/>
    </row>
    <row r="703" spans="1:4" ht="16">
      <c r="A703" s="37"/>
      <c r="B703" s="37"/>
      <c r="C703" s="30"/>
      <c r="D703" s="30"/>
    </row>
    <row r="704" spans="1:4" ht="16">
      <c r="A704" s="37"/>
      <c r="B704" s="37"/>
      <c r="C704" s="30"/>
      <c r="D704" s="30"/>
    </row>
    <row r="705" spans="1:4" ht="16">
      <c r="A705" s="37"/>
      <c r="B705" s="37"/>
      <c r="C705" s="30"/>
      <c r="D705" s="30"/>
    </row>
    <row r="706" spans="1:4" ht="16">
      <c r="A706" s="37"/>
      <c r="B706" s="37"/>
      <c r="C706" s="30"/>
      <c r="D706" s="30"/>
    </row>
    <row r="707" spans="1:4" ht="16">
      <c r="A707" s="37"/>
      <c r="B707" s="37"/>
      <c r="C707" s="30"/>
      <c r="D707" s="30"/>
    </row>
    <row r="708" spans="1:4" ht="16">
      <c r="A708" s="37"/>
      <c r="B708" s="37"/>
      <c r="C708" s="30"/>
      <c r="D708" s="30"/>
    </row>
    <row r="709" spans="1:4" ht="16">
      <c r="A709" s="37"/>
      <c r="B709" s="37"/>
      <c r="C709" s="30"/>
      <c r="D709" s="30"/>
    </row>
    <row r="710" spans="1:4" ht="16">
      <c r="A710" s="37"/>
      <c r="B710" s="37"/>
      <c r="C710" s="30"/>
      <c r="D710" s="30"/>
    </row>
    <row r="711" spans="1:4" ht="16">
      <c r="A711" s="37"/>
      <c r="B711" s="37"/>
      <c r="C711" s="30"/>
      <c r="D711" s="30"/>
    </row>
    <row r="712" spans="1:4" ht="16">
      <c r="A712" s="37"/>
      <c r="B712" s="37"/>
      <c r="C712" s="30"/>
      <c r="D712" s="30"/>
    </row>
    <row r="713" spans="1:4" ht="16">
      <c r="A713" s="37"/>
      <c r="B713" s="37"/>
      <c r="C713" s="30"/>
      <c r="D713" s="30"/>
    </row>
    <row r="714" spans="1:4" ht="16">
      <c r="A714" s="37"/>
      <c r="B714" s="37"/>
      <c r="C714" s="30"/>
      <c r="D714" s="30"/>
    </row>
    <row r="715" spans="1:4" ht="16">
      <c r="A715" s="37"/>
      <c r="B715" s="37"/>
      <c r="C715" s="30"/>
      <c r="D715" s="30"/>
    </row>
    <row r="716" spans="1:4" ht="16">
      <c r="A716" s="37"/>
      <c r="B716" s="37"/>
      <c r="C716" s="30"/>
      <c r="D716" s="30"/>
    </row>
    <row r="717" spans="1:4" ht="16">
      <c r="A717" s="37"/>
      <c r="B717" s="37"/>
      <c r="C717" s="30"/>
      <c r="D717" s="30"/>
    </row>
    <row r="718" spans="1:4" ht="16">
      <c r="A718" s="37"/>
      <c r="B718" s="37"/>
      <c r="C718" s="30"/>
      <c r="D718" s="30"/>
    </row>
    <row r="719" spans="1:4" ht="16">
      <c r="A719" s="37"/>
      <c r="B719" s="37"/>
      <c r="C719" s="30"/>
      <c r="D719" s="30"/>
    </row>
    <row r="720" spans="1:4" ht="16">
      <c r="A720" s="37"/>
      <c r="B720" s="37"/>
      <c r="C720" s="30"/>
      <c r="D720" s="30"/>
    </row>
    <row r="721" spans="1:4" ht="16">
      <c r="A721" s="37"/>
      <c r="B721" s="37"/>
      <c r="C721" s="30"/>
      <c r="D721" s="30"/>
    </row>
    <row r="722" spans="1:4" ht="16">
      <c r="A722" s="37"/>
      <c r="B722" s="37"/>
      <c r="C722" s="30"/>
      <c r="D722" s="30"/>
    </row>
    <row r="723" spans="1:4" ht="16">
      <c r="A723" s="37"/>
      <c r="B723" s="37"/>
      <c r="C723" s="30"/>
      <c r="D723" s="30"/>
    </row>
    <row r="724" spans="1:4" ht="16">
      <c r="A724" s="37"/>
      <c r="B724" s="37"/>
      <c r="C724" s="30"/>
      <c r="D724" s="30"/>
    </row>
    <row r="725" spans="1:4" ht="16">
      <c r="A725" s="37"/>
      <c r="B725" s="37"/>
      <c r="C725" s="30"/>
      <c r="D725" s="30"/>
    </row>
    <row r="726" spans="1:4" ht="16">
      <c r="A726" s="37"/>
      <c r="B726" s="37"/>
      <c r="C726" s="30"/>
      <c r="D726" s="30"/>
    </row>
    <row r="727" spans="1:4" ht="16">
      <c r="A727" s="37"/>
      <c r="B727" s="37"/>
      <c r="C727" s="30"/>
      <c r="D727" s="30"/>
    </row>
    <row r="728" spans="1:4" ht="16">
      <c r="A728" s="37"/>
      <c r="B728" s="37"/>
      <c r="C728" s="30"/>
      <c r="D728" s="30"/>
    </row>
    <row r="729" spans="1:4" ht="16">
      <c r="A729" s="37"/>
      <c r="B729" s="37"/>
      <c r="C729" s="30"/>
      <c r="D729" s="30"/>
    </row>
    <row r="730" spans="1:4" ht="16">
      <c r="A730" s="37"/>
      <c r="B730" s="37"/>
      <c r="C730" s="30"/>
      <c r="D730" s="30"/>
    </row>
    <row r="731" spans="1:4" ht="16">
      <c r="A731" s="37"/>
      <c r="B731" s="37"/>
      <c r="C731" s="30"/>
      <c r="D731" s="30"/>
    </row>
    <row r="732" spans="1:4" ht="16">
      <c r="A732" s="37"/>
      <c r="B732" s="37"/>
      <c r="C732" s="30"/>
      <c r="D732" s="30"/>
    </row>
    <row r="733" spans="1:4" ht="16">
      <c r="A733" s="37"/>
      <c r="B733" s="37"/>
      <c r="C733" s="30"/>
      <c r="D733" s="30"/>
    </row>
    <row r="734" spans="1:4" ht="16">
      <c r="A734" s="37"/>
      <c r="B734" s="37"/>
      <c r="C734" s="30"/>
      <c r="D734" s="30"/>
    </row>
    <row r="735" spans="1:4" ht="16">
      <c r="A735" s="37"/>
      <c r="B735" s="37"/>
      <c r="C735" s="30"/>
      <c r="D735" s="30"/>
    </row>
    <row r="736" spans="1:4" ht="16">
      <c r="A736" s="37"/>
      <c r="B736" s="37"/>
      <c r="C736" s="30"/>
      <c r="D736" s="30"/>
    </row>
    <row r="737" spans="1:4" ht="16">
      <c r="A737" s="37"/>
      <c r="B737" s="37"/>
      <c r="C737" s="30"/>
      <c r="D737" s="30"/>
    </row>
    <row r="738" spans="1:4" ht="16">
      <c r="A738" s="37"/>
      <c r="B738" s="37"/>
      <c r="C738" s="30"/>
      <c r="D738" s="30"/>
    </row>
    <row r="739" spans="1:4" ht="16">
      <c r="A739" s="37"/>
      <c r="B739" s="37"/>
      <c r="C739" s="30"/>
      <c r="D739" s="30"/>
    </row>
    <row r="740" spans="1:4" ht="16">
      <c r="A740" s="37"/>
      <c r="B740" s="37"/>
      <c r="C740" s="30"/>
      <c r="D740" s="30"/>
    </row>
    <row r="741" spans="1:4" ht="16">
      <c r="A741" s="37"/>
      <c r="B741" s="37"/>
      <c r="C741" s="30"/>
      <c r="D741" s="30"/>
    </row>
    <row r="742" spans="1:4" ht="16">
      <c r="A742" s="37"/>
      <c r="B742" s="37"/>
      <c r="C742" s="30"/>
      <c r="D742" s="30"/>
    </row>
    <row r="743" spans="1:4" ht="16">
      <c r="A743" s="37"/>
      <c r="B743" s="37"/>
      <c r="C743" s="30"/>
      <c r="D743" s="30"/>
    </row>
    <row r="744" spans="1:4" ht="16">
      <c r="A744" s="37"/>
      <c r="B744" s="37"/>
      <c r="C744" s="30"/>
      <c r="D744" s="30"/>
    </row>
    <row r="745" spans="1:4" ht="16">
      <c r="A745" s="37"/>
      <c r="B745" s="37"/>
      <c r="C745" s="30"/>
      <c r="D745" s="30"/>
    </row>
    <row r="746" spans="1:4" ht="16">
      <c r="A746" s="37"/>
      <c r="B746" s="37"/>
      <c r="C746" s="30"/>
      <c r="D746" s="30"/>
    </row>
    <row r="747" spans="1:4" ht="16">
      <c r="A747" s="37"/>
      <c r="B747" s="37"/>
      <c r="C747" s="30"/>
      <c r="D747" s="30"/>
    </row>
    <row r="748" spans="1:4" ht="16">
      <c r="A748" s="37"/>
      <c r="B748" s="37"/>
      <c r="C748" s="30"/>
      <c r="D748" s="30"/>
    </row>
    <row r="749" spans="1:4" ht="16">
      <c r="A749" s="37"/>
      <c r="B749" s="37"/>
      <c r="C749" s="30"/>
      <c r="D749" s="30"/>
    </row>
    <row r="750" spans="1:4" ht="16">
      <c r="A750" s="37"/>
      <c r="B750" s="37"/>
      <c r="C750" s="30"/>
      <c r="D750" s="30"/>
    </row>
    <row r="751" spans="1:4" ht="16">
      <c r="A751" s="37"/>
      <c r="B751" s="37"/>
      <c r="C751" s="30"/>
      <c r="D751" s="30"/>
    </row>
    <row r="752" spans="1:4" ht="16">
      <c r="A752" s="37"/>
      <c r="B752" s="37"/>
      <c r="C752" s="30"/>
      <c r="D752" s="30"/>
    </row>
    <row r="753" spans="1:4" ht="16">
      <c r="A753" s="37"/>
      <c r="B753" s="37"/>
      <c r="C753" s="30"/>
      <c r="D753" s="30"/>
    </row>
    <row r="754" spans="1:4" ht="16">
      <c r="A754" s="37"/>
      <c r="B754" s="37"/>
      <c r="C754" s="30"/>
      <c r="D754" s="30"/>
    </row>
    <row r="755" spans="1:4" ht="16">
      <c r="A755" s="37"/>
      <c r="B755" s="37"/>
      <c r="C755" s="30"/>
      <c r="D755" s="30"/>
    </row>
    <row r="756" spans="1:4" ht="16">
      <c r="A756" s="37"/>
      <c r="B756" s="37"/>
      <c r="C756" s="30"/>
      <c r="D756" s="30"/>
    </row>
    <row r="757" spans="1:4" ht="16">
      <c r="A757" s="37"/>
      <c r="B757" s="37"/>
      <c r="C757" s="30"/>
      <c r="D757" s="30"/>
    </row>
    <row r="758" spans="1:4" ht="16">
      <c r="A758" s="37"/>
      <c r="B758" s="37"/>
      <c r="C758" s="30"/>
      <c r="D758" s="30"/>
    </row>
    <row r="759" spans="1:4" ht="16">
      <c r="A759" s="37"/>
      <c r="B759" s="37"/>
      <c r="C759" s="30"/>
      <c r="D759" s="30"/>
    </row>
    <row r="760" spans="1:4" ht="16">
      <c r="A760" s="37"/>
      <c r="B760" s="37"/>
      <c r="C760" s="30"/>
      <c r="D760" s="30"/>
    </row>
    <row r="761" spans="1:4" ht="16">
      <c r="A761" s="37"/>
      <c r="B761" s="37"/>
      <c r="C761" s="30"/>
      <c r="D761" s="30"/>
    </row>
    <row r="762" spans="1:4" ht="16">
      <c r="A762" s="37"/>
      <c r="B762" s="37"/>
      <c r="C762" s="30"/>
      <c r="D762" s="30"/>
    </row>
    <row r="763" spans="1:4" ht="16">
      <c r="A763" s="37"/>
      <c r="B763" s="37"/>
      <c r="C763" s="30"/>
      <c r="D763" s="30"/>
    </row>
    <row r="764" spans="1:4" ht="16">
      <c r="A764" s="37"/>
      <c r="B764" s="37"/>
      <c r="C764" s="30"/>
      <c r="D764" s="30"/>
    </row>
    <row r="765" spans="1:4" ht="16">
      <c r="A765" s="37"/>
      <c r="B765" s="37"/>
      <c r="C765" s="30"/>
      <c r="D765" s="30"/>
    </row>
    <row r="766" spans="1:4" ht="16">
      <c r="A766" s="37"/>
      <c r="B766" s="37"/>
      <c r="C766" s="30"/>
      <c r="D766" s="30"/>
    </row>
    <row r="767" spans="1:4" ht="16">
      <c r="A767" s="37"/>
      <c r="B767" s="37"/>
      <c r="C767" s="30"/>
      <c r="D767" s="30"/>
    </row>
    <row r="768" spans="1:4" ht="16">
      <c r="A768" s="37"/>
      <c r="B768" s="37"/>
      <c r="C768" s="30"/>
      <c r="D768" s="30"/>
    </row>
    <row r="769" spans="1:4" ht="16">
      <c r="A769" s="37"/>
      <c r="B769" s="37"/>
      <c r="C769" s="30"/>
      <c r="D769" s="30"/>
    </row>
    <row r="770" spans="1:4" ht="16">
      <c r="A770" s="37"/>
      <c r="B770" s="37"/>
      <c r="C770" s="30"/>
      <c r="D770" s="30"/>
    </row>
    <row r="771" spans="1:4" ht="16">
      <c r="A771" s="37"/>
      <c r="B771" s="37"/>
      <c r="C771" s="30"/>
      <c r="D771" s="30"/>
    </row>
    <row r="772" spans="1:4" ht="16">
      <c r="A772" s="37"/>
      <c r="B772" s="37"/>
      <c r="C772" s="30"/>
      <c r="D772" s="30"/>
    </row>
    <row r="773" spans="1:4" ht="16">
      <c r="A773" s="37"/>
      <c r="B773" s="37"/>
      <c r="C773" s="30"/>
      <c r="D773" s="30"/>
    </row>
    <row r="774" spans="1:4" ht="16">
      <c r="A774" s="37"/>
      <c r="B774" s="37"/>
      <c r="C774" s="30"/>
      <c r="D774" s="30"/>
    </row>
    <row r="775" spans="1:4" ht="16">
      <c r="A775" s="37"/>
      <c r="B775" s="37"/>
      <c r="C775" s="30"/>
      <c r="D775" s="30"/>
    </row>
    <row r="776" spans="1:4" ht="16">
      <c r="A776" s="37"/>
      <c r="B776" s="37"/>
      <c r="C776" s="30"/>
      <c r="D776" s="30"/>
    </row>
    <row r="777" spans="1:4" ht="16">
      <c r="A777" s="37"/>
      <c r="B777" s="37"/>
      <c r="C777" s="30"/>
      <c r="D777" s="30"/>
    </row>
    <row r="778" spans="1:4" ht="16">
      <c r="A778" s="37"/>
      <c r="B778" s="37"/>
      <c r="C778" s="30"/>
      <c r="D778" s="30"/>
    </row>
    <row r="779" spans="1:4" ht="16">
      <c r="A779" s="37"/>
      <c r="B779" s="37"/>
      <c r="C779" s="30"/>
      <c r="D779" s="30"/>
    </row>
    <row r="780" spans="1:4" ht="16">
      <c r="A780" s="37"/>
      <c r="B780" s="37"/>
      <c r="C780" s="30"/>
      <c r="D780" s="30"/>
    </row>
    <row r="781" spans="1:4" ht="16">
      <c r="A781" s="37"/>
      <c r="B781" s="37"/>
      <c r="C781" s="30"/>
      <c r="D781" s="30"/>
    </row>
    <row r="782" spans="1:4" ht="16">
      <c r="A782" s="37"/>
      <c r="B782" s="37"/>
      <c r="C782" s="30"/>
      <c r="D782" s="30"/>
    </row>
    <row r="783" spans="1:4" ht="16">
      <c r="A783" s="37"/>
      <c r="B783" s="37"/>
      <c r="C783" s="30"/>
      <c r="D783" s="30"/>
    </row>
    <row r="784" spans="1:4" ht="16">
      <c r="A784" s="37"/>
      <c r="B784" s="37"/>
      <c r="C784" s="30"/>
      <c r="D784" s="30"/>
    </row>
    <row r="785" spans="1:4" ht="16">
      <c r="A785" s="37"/>
      <c r="B785" s="37"/>
      <c r="C785" s="30"/>
      <c r="D785" s="30"/>
    </row>
    <row r="786" spans="1:4" ht="16">
      <c r="A786" s="37"/>
      <c r="B786" s="37"/>
      <c r="C786" s="30"/>
      <c r="D786" s="30"/>
    </row>
    <row r="787" spans="1:4" ht="16">
      <c r="A787" s="37"/>
      <c r="B787" s="37"/>
      <c r="C787" s="30"/>
      <c r="D787" s="30"/>
    </row>
    <row r="788" spans="1:4" ht="16">
      <c r="A788" s="37"/>
      <c r="B788" s="37"/>
      <c r="C788" s="30"/>
      <c r="D788" s="30"/>
    </row>
    <row r="789" spans="1:4" ht="16">
      <c r="A789" s="37"/>
      <c r="B789" s="37"/>
      <c r="C789" s="30"/>
      <c r="D789" s="30"/>
    </row>
    <row r="790" spans="1:4" ht="16">
      <c r="A790" s="37"/>
      <c r="B790" s="37"/>
      <c r="C790" s="30"/>
      <c r="D790" s="30"/>
    </row>
    <row r="791" spans="1:4" ht="16">
      <c r="A791" s="37"/>
      <c r="B791" s="37"/>
      <c r="C791" s="30"/>
      <c r="D791" s="30"/>
    </row>
    <row r="792" spans="1:4" ht="16">
      <c r="A792" s="37"/>
      <c r="B792" s="37"/>
      <c r="C792" s="30"/>
      <c r="D792" s="30"/>
    </row>
    <row r="793" spans="1:4" ht="16">
      <c r="A793" s="37"/>
      <c r="B793" s="37"/>
      <c r="C793" s="30"/>
      <c r="D793" s="30"/>
    </row>
    <row r="794" spans="1:4" ht="16">
      <c r="A794" s="37"/>
      <c r="B794" s="37"/>
      <c r="C794" s="30"/>
      <c r="D794" s="30"/>
    </row>
    <row r="795" spans="1:4" ht="16">
      <c r="A795" s="37"/>
      <c r="B795" s="37"/>
      <c r="C795" s="30"/>
      <c r="D795" s="30"/>
    </row>
    <row r="796" spans="1:4" ht="16">
      <c r="A796" s="37"/>
      <c r="B796" s="37"/>
      <c r="C796" s="30"/>
      <c r="D796" s="30"/>
    </row>
    <row r="797" spans="1:4" ht="16">
      <c r="A797" s="37"/>
      <c r="B797" s="37"/>
      <c r="C797" s="30"/>
      <c r="D797" s="30"/>
    </row>
    <row r="798" spans="1:4" ht="16">
      <c r="A798" s="37"/>
      <c r="B798" s="37"/>
      <c r="C798" s="30"/>
      <c r="D798" s="30"/>
    </row>
    <row r="799" spans="1:4" ht="16">
      <c r="A799" s="37"/>
      <c r="B799" s="37"/>
      <c r="C799" s="30"/>
      <c r="D799" s="30"/>
    </row>
    <row r="800" spans="1:4" ht="16">
      <c r="A800" s="37"/>
      <c r="B800" s="37"/>
      <c r="C800" s="30"/>
      <c r="D800" s="30"/>
    </row>
    <row r="801" spans="1:4" ht="16">
      <c r="A801" s="37"/>
      <c r="B801" s="37"/>
      <c r="C801" s="30"/>
      <c r="D801" s="30"/>
    </row>
    <row r="802" spans="1:4" ht="16">
      <c r="A802" s="37"/>
      <c r="B802" s="37"/>
      <c r="C802" s="30"/>
      <c r="D802" s="30"/>
    </row>
    <row r="803" spans="1:4" ht="16">
      <c r="A803" s="37"/>
      <c r="B803" s="37"/>
      <c r="C803" s="30"/>
      <c r="D803" s="30"/>
    </row>
    <row r="804" spans="1:4" ht="16">
      <c r="A804" s="37"/>
      <c r="B804" s="37"/>
      <c r="C804" s="30"/>
      <c r="D804" s="30"/>
    </row>
    <row r="805" spans="1:4" ht="16">
      <c r="A805" s="37"/>
      <c r="B805" s="37"/>
      <c r="C805" s="30"/>
      <c r="D805" s="30"/>
    </row>
    <row r="806" spans="1:4" ht="16">
      <c r="A806" s="37"/>
      <c r="B806" s="37"/>
      <c r="C806" s="30"/>
      <c r="D806" s="30"/>
    </row>
    <row r="807" spans="1:4" ht="16">
      <c r="A807" s="37"/>
      <c r="B807" s="37"/>
      <c r="C807" s="30"/>
      <c r="D807" s="30"/>
    </row>
    <row r="808" spans="1:4" ht="16">
      <c r="A808" s="37"/>
      <c r="B808" s="37"/>
      <c r="C808" s="30"/>
      <c r="D808" s="30"/>
    </row>
    <row r="809" spans="1:4" ht="16">
      <c r="A809" s="37"/>
      <c r="B809" s="37"/>
      <c r="C809" s="30"/>
      <c r="D809" s="30"/>
    </row>
    <row r="810" spans="1:4" ht="16">
      <c r="A810" s="37"/>
      <c r="B810" s="37"/>
      <c r="C810" s="30"/>
      <c r="D810" s="30"/>
    </row>
    <row r="811" spans="1:4" ht="16">
      <c r="A811" s="37"/>
      <c r="B811" s="37"/>
      <c r="C811" s="30"/>
      <c r="D811" s="30"/>
    </row>
    <row r="812" spans="1:4" ht="16">
      <c r="A812" s="37"/>
      <c r="B812" s="37"/>
      <c r="C812" s="30"/>
      <c r="D812" s="30"/>
    </row>
    <row r="813" spans="1:4" ht="16">
      <c r="A813" s="37"/>
      <c r="B813" s="37"/>
      <c r="C813" s="30"/>
      <c r="D813" s="30"/>
    </row>
    <row r="814" spans="1:4" ht="16">
      <c r="A814" s="37"/>
      <c r="B814" s="37"/>
      <c r="C814" s="30"/>
      <c r="D814" s="30"/>
    </row>
    <row r="815" spans="1:4" ht="16">
      <c r="A815" s="37"/>
      <c r="B815" s="37"/>
      <c r="C815" s="30"/>
      <c r="D815" s="30"/>
    </row>
    <row r="816" spans="1:4" ht="16">
      <c r="A816" s="37"/>
      <c r="B816" s="37"/>
      <c r="C816" s="30"/>
      <c r="D816" s="30"/>
    </row>
    <row r="817" spans="1:4" ht="16">
      <c r="A817" s="37"/>
      <c r="B817" s="37"/>
      <c r="C817" s="30"/>
      <c r="D817" s="30"/>
    </row>
    <row r="818" spans="1:4" ht="16">
      <c r="A818" s="37"/>
      <c r="B818" s="37"/>
      <c r="C818" s="30"/>
      <c r="D818" s="30"/>
    </row>
    <row r="819" spans="1:4" ht="16">
      <c r="A819" s="37"/>
      <c r="B819" s="37"/>
      <c r="C819" s="30"/>
      <c r="D819" s="30"/>
    </row>
    <row r="820" spans="1:4" ht="16">
      <c r="A820" s="37"/>
      <c r="B820" s="37"/>
      <c r="C820" s="30"/>
      <c r="D820" s="30"/>
    </row>
    <row r="821" spans="1:4" ht="16">
      <c r="A821" s="37"/>
      <c r="B821" s="37"/>
      <c r="C821" s="30"/>
      <c r="D821" s="30"/>
    </row>
    <row r="822" spans="1:4" ht="16">
      <c r="A822" s="37"/>
      <c r="B822" s="37"/>
      <c r="C822" s="30"/>
      <c r="D822" s="30"/>
    </row>
    <row r="823" spans="1:4" ht="16">
      <c r="A823" s="37"/>
      <c r="B823" s="37"/>
      <c r="C823" s="30"/>
      <c r="D823" s="30"/>
    </row>
    <row r="824" spans="1:4" ht="16">
      <c r="A824" s="37"/>
      <c r="B824" s="37"/>
      <c r="C824" s="30"/>
      <c r="D824" s="30"/>
    </row>
    <row r="825" spans="1:4" ht="16">
      <c r="A825" s="37"/>
      <c r="B825" s="37"/>
      <c r="C825" s="30"/>
      <c r="D825" s="30"/>
    </row>
    <row r="826" spans="1:4" ht="16">
      <c r="A826" s="37"/>
      <c r="B826" s="37"/>
      <c r="C826" s="30"/>
      <c r="D826" s="30"/>
    </row>
    <row r="827" spans="1:4" ht="16">
      <c r="A827" s="37"/>
      <c r="B827" s="37"/>
      <c r="C827" s="30"/>
      <c r="D827" s="30"/>
    </row>
    <row r="828" spans="1:4" ht="16">
      <c r="A828" s="37"/>
      <c r="B828" s="37"/>
      <c r="C828" s="30"/>
      <c r="D828" s="30"/>
    </row>
    <row r="829" spans="1:4" ht="16">
      <c r="A829" s="37"/>
      <c r="B829" s="37"/>
      <c r="C829" s="30"/>
      <c r="D829" s="30"/>
    </row>
    <row r="830" spans="1:4" ht="16">
      <c r="A830" s="37"/>
      <c r="B830" s="37"/>
      <c r="C830" s="30"/>
      <c r="D830" s="30"/>
    </row>
    <row r="831" spans="1:4" ht="16">
      <c r="A831" s="37"/>
      <c r="B831" s="37"/>
      <c r="C831" s="30"/>
      <c r="D831" s="30"/>
    </row>
    <row r="832" spans="1:4" ht="16">
      <c r="A832" s="37"/>
      <c r="B832" s="37"/>
      <c r="C832" s="30"/>
      <c r="D832" s="30"/>
    </row>
    <row r="833" spans="1:4" ht="16">
      <c r="A833" s="37"/>
      <c r="B833" s="37"/>
      <c r="C833" s="30"/>
      <c r="D833" s="30"/>
    </row>
    <row r="834" spans="1:4" ht="16">
      <c r="A834" s="37"/>
      <c r="B834" s="37"/>
      <c r="C834" s="30"/>
      <c r="D834" s="30"/>
    </row>
    <row r="835" spans="1:4" ht="16">
      <c r="A835" s="37"/>
      <c r="B835" s="37"/>
      <c r="C835" s="30"/>
      <c r="D835" s="30"/>
    </row>
    <row r="836" spans="1:4" ht="16">
      <c r="A836" s="37"/>
      <c r="B836" s="37"/>
      <c r="C836" s="30"/>
      <c r="D836" s="30"/>
    </row>
    <row r="837" spans="1:4" ht="16">
      <c r="A837" s="37"/>
      <c r="B837" s="37"/>
      <c r="C837" s="30"/>
      <c r="D837" s="30"/>
    </row>
    <row r="838" spans="1:4" ht="16">
      <c r="A838" s="37"/>
      <c r="B838" s="37"/>
      <c r="C838" s="30"/>
      <c r="D838" s="30"/>
    </row>
    <row r="839" spans="1:4" ht="16">
      <c r="A839" s="37"/>
      <c r="B839" s="37"/>
      <c r="C839" s="30"/>
      <c r="D839" s="30"/>
    </row>
    <row r="840" spans="1:4" ht="16">
      <c r="A840" s="37"/>
      <c r="B840" s="37"/>
      <c r="C840" s="30"/>
      <c r="D840" s="30"/>
    </row>
    <row r="841" spans="1:4" ht="16">
      <c r="A841" s="37"/>
      <c r="B841" s="37"/>
      <c r="C841" s="30"/>
      <c r="D841" s="30"/>
    </row>
    <row r="842" spans="1:4" ht="16">
      <c r="A842" s="37"/>
      <c r="B842" s="37"/>
      <c r="C842" s="30"/>
      <c r="D842" s="30"/>
    </row>
    <row r="843" spans="1:4" ht="16">
      <c r="A843" s="37"/>
      <c r="B843" s="37"/>
      <c r="C843" s="30"/>
      <c r="D843" s="30"/>
    </row>
    <row r="844" spans="1:4" ht="16">
      <c r="A844" s="37"/>
      <c r="B844" s="37"/>
      <c r="C844" s="30"/>
      <c r="D844" s="30"/>
    </row>
    <row r="845" spans="1:4" ht="16">
      <c r="A845" s="37"/>
      <c r="B845" s="37"/>
      <c r="C845" s="30"/>
      <c r="D845" s="30"/>
    </row>
    <row r="846" spans="1:4" ht="16">
      <c r="A846" s="37"/>
      <c r="B846" s="37"/>
      <c r="C846" s="30"/>
      <c r="D846" s="30"/>
    </row>
    <row r="847" spans="1:4" ht="16">
      <c r="A847" s="37"/>
      <c r="B847" s="37"/>
      <c r="C847" s="30"/>
      <c r="D847" s="30"/>
    </row>
    <row r="848" spans="1:4" ht="16">
      <c r="A848" s="37"/>
      <c r="B848" s="37"/>
      <c r="C848" s="30"/>
      <c r="D848" s="30"/>
    </row>
    <row r="849" spans="1:4" ht="16">
      <c r="A849" s="37"/>
      <c r="B849" s="37"/>
      <c r="C849" s="30"/>
      <c r="D849" s="30"/>
    </row>
    <row r="850" spans="1:4" ht="16">
      <c r="A850" s="37"/>
      <c r="B850" s="37"/>
      <c r="C850" s="30"/>
      <c r="D850" s="30"/>
    </row>
    <row r="851" spans="1:4" ht="16">
      <c r="A851" s="37"/>
      <c r="B851" s="37"/>
      <c r="C851" s="30"/>
      <c r="D851" s="30"/>
    </row>
    <row r="852" spans="1:4" ht="16">
      <c r="A852" s="37"/>
      <c r="B852" s="37"/>
      <c r="C852" s="30"/>
      <c r="D852" s="30"/>
    </row>
    <row r="853" spans="1:4" ht="16">
      <c r="A853" s="37"/>
      <c r="B853" s="37"/>
      <c r="C853" s="30"/>
      <c r="D853" s="30"/>
    </row>
    <row r="854" spans="1:4" ht="16">
      <c r="A854" s="37"/>
      <c r="B854" s="37"/>
      <c r="C854" s="30"/>
      <c r="D854" s="30"/>
    </row>
    <row r="855" spans="1:4" ht="16">
      <c r="A855" s="37"/>
      <c r="B855" s="37"/>
      <c r="C855" s="30"/>
      <c r="D855" s="30"/>
    </row>
    <row r="856" spans="1:4" ht="16">
      <c r="A856" s="37"/>
      <c r="B856" s="37"/>
      <c r="C856" s="30"/>
      <c r="D856" s="30"/>
    </row>
    <row r="857" spans="1:4" ht="16">
      <c r="A857" s="37"/>
      <c r="B857" s="37"/>
      <c r="C857" s="30"/>
      <c r="D857" s="30"/>
    </row>
    <row r="858" spans="1:4" ht="16">
      <c r="A858" s="37"/>
      <c r="B858" s="37"/>
      <c r="C858" s="30"/>
      <c r="D858" s="30"/>
    </row>
    <row r="859" spans="1:4" ht="16">
      <c r="A859" s="37"/>
      <c r="B859" s="37"/>
      <c r="C859" s="30"/>
      <c r="D859" s="30"/>
    </row>
    <row r="860" spans="1:4" ht="16">
      <c r="A860" s="37"/>
      <c r="B860" s="37"/>
      <c r="C860" s="30"/>
      <c r="D860" s="30"/>
    </row>
    <row r="861" spans="1:4" ht="16">
      <c r="A861" s="37"/>
      <c r="B861" s="37"/>
      <c r="C861" s="30"/>
      <c r="D861" s="30"/>
    </row>
    <row r="862" spans="1:4" ht="16">
      <c r="A862" s="37"/>
      <c r="B862" s="37"/>
      <c r="C862" s="30"/>
      <c r="D862" s="30"/>
    </row>
    <row r="863" spans="1:4" ht="16">
      <c r="A863" s="37"/>
      <c r="B863" s="37"/>
      <c r="C863" s="30"/>
      <c r="D863" s="30"/>
    </row>
    <row r="864" spans="1:4" ht="16">
      <c r="A864" s="37"/>
      <c r="B864" s="37"/>
      <c r="C864" s="30"/>
      <c r="D864" s="30"/>
    </row>
    <row r="865" spans="1:4" ht="16">
      <c r="A865" s="37"/>
      <c r="B865" s="37"/>
      <c r="C865" s="30"/>
      <c r="D865" s="30"/>
    </row>
    <row r="866" spans="1:4" ht="16">
      <c r="A866" s="37"/>
      <c r="B866" s="37"/>
      <c r="C866" s="30"/>
      <c r="D866" s="30"/>
    </row>
    <row r="867" spans="1:4" ht="16">
      <c r="A867" s="37"/>
      <c r="B867" s="37"/>
      <c r="C867" s="30"/>
      <c r="D867" s="30"/>
    </row>
    <row r="868" spans="1:4" ht="16">
      <c r="A868" s="37"/>
      <c r="B868" s="37"/>
      <c r="C868" s="30"/>
      <c r="D868" s="30"/>
    </row>
    <row r="869" spans="1:4" ht="16">
      <c r="A869" s="37"/>
      <c r="B869" s="37"/>
      <c r="C869" s="30"/>
      <c r="D869" s="30"/>
    </row>
    <row r="870" spans="1:4" ht="16">
      <c r="A870" s="37"/>
      <c r="B870" s="37"/>
      <c r="C870" s="30"/>
      <c r="D870" s="30"/>
    </row>
    <row r="871" spans="1:4" ht="16">
      <c r="A871" s="37"/>
      <c r="B871" s="37"/>
      <c r="C871" s="30"/>
      <c r="D871" s="30"/>
    </row>
    <row r="872" spans="1:4" ht="16">
      <c r="A872" s="37"/>
      <c r="B872" s="37"/>
      <c r="C872" s="30"/>
      <c r="D872" s="30"/>
    </row>
    <row r="873" spans="1:4" ht="16">
      <c r="A873" s="37"/>
      <c r="B873" s="37"/>
      <c r="C873" s="30"/>
      <c r="D873" s="30"/>
    </row>
    <row r="874" spans="1:4" ht="16">
      <c r="A874" s="37"/>
      <c r="B874" s="37"/>
      <c r="C874" s="30"/>
      <c r="D874" s="30"/>
    </row>
    <row r="875" spans="1:4" ht="16">
      <c r="A875" s="37"/>
      <c r="B875" s="37"/>
      <c r="C875" s="30"/>
      <c r="D875" s="30"/>
    </row>
    <row r="876" spans="1:4" ht="16">
      <c r="A876" s="37"/>
      <c r="B876" s="37"/>
      <c r="C876" s="30"/>
      <c r="D876" s="30"/>
    </row>
    <row r="877" spans="1:4" ht="16">
      <c r="A877" s="37"/>
      <c r="B877" s="37"/>
      <c r="C877" s="30"/>
      <c r="D877" s="30"/>
    </row>
    <row r="878" spans="1:4" ht="16">
      <c r="A878" s="37"/>
      <c r="B878" s="37"/>
      <c r="C878" s="30"/>
      <c r="D878" s="30"/>
    </row>
    <row r="879" spans="1:4" ht="16">
      <c r="A879" s="37"/>
      <c r="B879" s="37"/>
      <c r="C879" s="30"/>
      <c r="D879" s="30"/>
    </row>
    <row r="880" spans="1:4" ht="16">
      <c r="A880" s="37"/>
      <c r="B880" s="37"/>
      <c r="C880" s="30"/>
      <c r="D880" s="30"/>
    </row>
    <row r="881" spans="1:4" ht="16">
      <c r="A881" s="37"/>
      <c r="B881" s="37"/>
      <c r="C881" s="30"/>
      <c r="D881" s="30"/>
    </row>
    <row r="882" spans="1:4" ht="16">
      <c r="A882" s="37"/>
      <c r="B882" s="37"/>
      <c r="C882" s="30"/>
      <c r="D882" s="30"/>
    </row>
    <row r="883" spans="1:4" ht="16">
      <c r="A883" s="37"/>
      <c r="B883" s="37"/>
      <c r="C883" s="30"/>
      <c r="D883" s="30"/>
    </row>
    <row r="884" spans="1:4" ht="16">
      <c r="A884" s="37"/>
      <c r="B884" s="37"/>
      <c r="C884" s="30"/>
      <c r="D884" s="30"/>
    </row>
    <row r="885" spans="1:4" ht="16">
      <c r="A885" s="37"/>
      <c r="B885" s="37"/>
      <c r="C885" s="30"/>
      <c r="D885" s="30"/>
    </row>
    <row r="886" spans="1:4" ht="16">
      <c r="A886" s="37"/>
      <c r="B886" s="37"/>
      <c r="C886" s="30"/>
      <c r="D886" s="30"/>
    </row>
    <row r="887" spans="1:4" ht="16">
      <c r="A887" s="37"/>
      <c r="B887" s="37"/>
      <c r="C887" s="30"/>
      <c r="D887" s="30"/>
    </row>
    <row r="888" spans="1:4" ht="16">
      <c r="A888" s="37"/>
      <c r="B888" s="37"/>
      <c r="C888" s="30"/>
      <c r="D888" s="30"/>
    </row>
    <row r="889" spans="1:4" ht="16">
      <c r="A889" s="37"/>
      <c r="B889" s="37"/>
      <c r="C889" s="30"/>
      <c r="D889" s="30"/>
    </row>
    <row r="890" spans="1:4" ht="16">
      <c r="A890" s="37"/>
      <c r="B890" s="37"/>
      <c r="C890" s="30"/>
      <c r="D890" s="30"/>
    </row>
    <row r="891" spans="1:4" ht="16">
      <c r="A891" s="37"/>
      <c r="B891" s="37"/>
      <c r="C891" s="30"/>
      <c r="D891" s="30"/>
    </row>
    <row r="892" spans="1:4" ht="16">
      <c r="A892" s="37"/>
      <c r="B892" s="37"/>
      <c r="C892" s="30"/>
      <c r="D892" s="30"/>
    </row>
    <row r="893" spans="1:4" ht="16">
      <c r="A893" s="37"/>
      <c r="B893" s="37"/>
      <c r="C893" s="30"/>
      <c r="D893" s="30"/>
    </row>
    <row r="894" spans="1:4" ht="16">
      <c r="A894" s="37"/>
      <c r="B894" s="37"/>
      <c r="C894" s="30"/>
      <c r="D894" s="30"/>
    </row>
    <row r="895" spans="1:4" ht="16">
      <c r="A895" s="37"/>
      <c r="B895" s="37"/>
      <c r="C895" s="30"/>
      <c r="D895" s="30"/>
    </row>
    <row r="896" spans="1:4" ht="16">
      <c r="A896" s="37"/>
      <c r="B896" s="37"/>
      <c r="C896" s="30"/>
      <c r="D896" s="30"/>
    </row>
    <row r="897" spans="1:4" ht="16">
      <c r="A897" s="37"/>
      <c r="B897" s="37"/>
      <c r="C897" s="30"/>
      <c r="D897" s="30"/>
    </row>
    <row r="898" spans="1:4" ht="16">
      <c r="A898" s="37"/>
      <c r="B898" s="37"/>
      <c r="C898" s="30"/>
      <c r="D898" s="30"/>
    </row>
    <row r="899" spans="1:4" ht="16">
      <c r="A899" s="37"/>
      <c r="B899" s="37"/>
      <c r="C899" s="30"/>
      <c r="D899" s="30"/>
    </row>
    <row r="900" spans="1:4" ht="16">
      <c r="A900" s="37"/>
      <c r="B900" s="37"/>
      <c r="C900" s="30"/>
      <c r="D900" s="30"/>
    </row>
    <row r="901" spans="1:4" ht="16">
      <c r="A901" s="37"/>
      <c r="B901" s="37"/>
      <c r="C901" s="30"/>
      <c r="D901" s="30"/>
    </row>
    <row r="902" spans="1:4" ht="16">
      <c r="A902" s="37"/>
      <c r="B902" s="37"/>
      <c r="C902" s="30"/>
      <c r="D902" s="30"/>
    </row>
    <row r="903" spans="1:4" ht="16">
      <c r="A903" s="37"/>
      <c r="B903" s="37"/>
      <c r="C903" s="30"/>
      <c r="D903" s="30"/>
    </row>
    <row r="904" spans="1:4" ht="16">
      <c r="A904" s="37"/>
      <c r="B904" s="37"/>
      <c r="C904" s="30"/>
      <c r="D904" s="30"/>
    </row>
    <row r="905" spans="1:4" ht="16">
      <c r="A905" s="37"/>
      <c r="B905" s="37"/>
      <c r="C905" s="30"/>
      <c r="D905" s="30"/>
    </row>
    <row r="906" spans="1:4" ht="16">
      <c r="A906" s="37"/>
      <c r="B906" s="37"/>
      <c r="C906" s="30"/>
      <c r="D906" s="30"/>
    </row>
    <row r="907" spans="1:4" ht="16">
      <c r="A907" s="37"/>
      <c r="B907" s="37"/>
      <c r="C907" s="30"/>
      <c r="D907" s="30"/>
    </row>
    <row r="908" spans="1:4" ht="16">
      <c r="A908" s="37"/>
      <c r="B908" s="37"/>
      <c r="C908" s="30"/>
      <c r="D908" s="30"/>
    </row>
    <row r="909" spans="1:4" ht="16">
      <c r="A909" s="37"/>
      <c r="B909" s="37"/>
      <c r="C909" s="30"/>
      <c r="D909" s="30"/>
    </row>
    <row r="910" spans="1:4" ht="16">
      <c r="A910" s="37"/>
      <c r="B910" s="37"/>
      <c r="C910" s="30"/>
      <c r="D910" s="30"/>
    </row>
    <row r="911" spans="1:4" ht="16">
      <c r="A911" s="37"/>
      <c r="B911" s="37"/>
      <c r="C911" s="30"/>
      <c r="D911" s="30"/>
    </row>
    <row r="912" spans="1:4" ht="16">
      <c r="A912" s="37"/>
      <c r="B912" s="37"/>
      <c r="C912" s="30"/>
      <c r="D912" s="30"/>
    </row>
    <row r="913" spans="1:4" ht="16">
      <c r="A913" s="37"/>
      <c r="B913" s="37"/>
      <c r="C913" s="30"/>
      <c r="D913" s="30"/>
    </row>
    <row r="914" spans="1:4" ht="16">
      <c r="A914" s="37"/>
      <c r="B914" s="37"/>
      <c r="C914" s="30"/>
      <c r="D914" s="30"/>
    </row>
    <row r="915" spans="1:4" ht="16">
      <c r="A915" s="37"/>
      <c r="B915" s="37"/>
      <c r="C915" s="30"/>
      <c r="D915" s="30"/>
    </row>
    <row r="916" spans="1:4" ht="16">
      <c r="A916" s="37"/>
      <c r="B916" s="37"/>
      <c r="C916" s="30"/>
      <c r="D916" s="30"/>
    </row>
    <row r="917" spans="1:4" ht="16">
      <c r="A917" s="37"/>
      <c r="B917" s="37"/>
      <c r="C917" s="30"/>
      <c r="D917" s="30"/>
    </row>
    <row r="918" spans="1:4" ht="16">
      <c r="A918" s="37"/>
      <c r="B918" s="37"/>
      <c r="C918" s="30"/>
      <c r="D918" s="30"/>
    </row>
    <row r="919" spans="1:4" ht="16">
      <c r="A919" s="37"/>
      <c r="B919" s="37"/>
      <c r="C919" s="30"/>
      <c r="D919" s="30"/>
    </row>
    <row r="920" spans="1:4" ht="16">
      <c r="A920" s="37"/>
      <c r="B920" s="37"/>
      <c r="C920" s="30"/>
      <c r="D920" s="30"/>
    </row>
    <row r="921" spans="1:4" ht="16">
      <c r="A921" s="37"/>
      <c r="B921" s="37"/>
      <c r="C921" s="30"/>
      <c r="D921" s="30"/>
    </row>
    <row r="922" spans="1:4" ht="16">
      <c r="A922" s="37"/>
      <c r="B922" s="37"/>
      <c r="C922" s="30"/>
      <c r="D922" s="30"/>
    </row>
    <row r="923" spans="1:4" ht="16">
      <c r="A923" s="37"/>
      <c r="B923" s="37"/>
      <c r="C923" s="30"/>
      <c r="D923" s="30"/>
    </row>
    <row r="924" spans="1:4" ht="16">
      <c r="A924" s="37"/>
      <c r="B924" s="37"/>
      <c r="C924" s="30"/>
      <c r="D924" s="30"/>
    </row>
    <row r="925" spans="1:4" ht="16">
      <c r="A925" s="37"/>
      <c r="B925" s="37"/>
      <c r="C925" s="30"/>
      <c r="D925" s="30"/>
    </row>
    <row r="926" spans="1:4" ht="16">
      <c r="A926" s="37"/>
      <c r="B926" s="37"/>
      <c r="C926" s="30"/>
      <c r="D926" s="30"/>
    </row>
    <row r="927" spans="1:4" ht="16">
      <c r="A927" s="37"/>
      <c r="B927" s="37"/>
      <c r="C927" s="30"/>
      <c r="D927" s="30"/>
    </row>
    <row r="928" spans="1:4" ht="16">
      <c r="A928" s="37"/>
      <c r="B928" s="37"/>
      <c r="C928" s="30"/>
      <c r="D928" s="30"/>
    </row>
    <row r="929" spans="1:4" ht="16">
      <c r="A929" s="37"/>
      <c r="B929" s="37"/>
      <c r="C929" s="30"/>
      <c r="D929" s="30"/>
    </row>
    <row r="930" spans="1:4" ht="16">
      <c r="A930" s="37"/>
      <c r="B930" s="37"/>
      <c r="C930" s="30"/>
      <c r="D930" s="30"/>
    </row>
    <row r="931" spans="1:4" ht="16">
      <c r="A931" s="37"/>
      <c r="B931" s="37"/>
      <c r="C931" s="30"/>
      <c r="D931" s="30"/>
    </row>
    <row r="932" spans="1:4" ht="16">
      <c r="A932" s="37"/>
      <c r="B932" s="37"/>
      <c r="C932" s="30"/>
      <c r="D932" s="30"/>
    </row>
    <row r="933" spans="1:4" ht="16">
      <c r="A933" s="37"/>
      <c r="B933" s="37"/>
      <c r="C933" s="30"/>
      <c r="D933" s="30"/>
    </row>
    <row r="934" spans="1:4" ht="16">
      <c r="A934" s="37"/>
      <c r="B934" s="37"/>
      <c r="C934" s="30"/>
      <c r="D934" s="30"/>
    </row>
    <row r="935" spans="1:4" ht="16">
      <c r="A935" s="37"/>
      <c r="B935" s="37"/>
      <c r="C935" s="30"/>
      <c r="D935" s="30"/>
    </row>
    <row r="936" spans="1:4" ht="16">
      <c r="A936" s="37"/>
      <c r="B936" s="37"/>
      <c r="C936" s="30"/>
      <c r="D936" s="30"/>
    </row>
    <row r="937" spans="1:4" ht="16">
      <c r="A937" s="37"/>
      <c r="B937" s="37"/>
      <c r="C937" s="30"/>
      <c r="D937" s="30"/>
    </row>
    <row r="938" spans="1:4" ht="16">
      <c r="A938" s="37"/>
      <c r="B938" s="37"/>
      <c r="C938" s="30"/>
      <c r="D938" s="30"/>
    </row>
    <row r="939" spans="1:4" ht="16">
      <c r="A939" s="37"/>
      <c r="B939" s="37"/>
      <c r="C939" s="30"/>
      <c r="D939" s="30"/>
    </row>
    <row r="940" spans="1:4" ht="16">
      <c r="A940" s="37"/>
      <c r="B940" s="37"/>
      <c r="C940" s="30"/>
      <c r="D940" s="30"/>
    </row>
    <row r="941" spans="1:4" ht="16">
      <c r="A941" s="37"/>
      <c r="B941" s="37"/>
      <c r="C941" s="30"/>
      <c r="D941" s="30"/>
    </row>
    <row r="942" spans="1:4" ht="16">
      <c r="A942" s="37"/>
      <c r="B942" s="37"/>
      <c r="C942" s="30"/>
      <c r="D942" s="30"/>
    </row>
    <row r="943" spans="1:4" ht="16">
      <c r="A943" s="37"/>
      <c r="B943" s="37"/>
      <c r="C943" s="30"/>
      <c r="D943" s="30"/>
    </row>
    <row r="944" spans="1:4" ht="16">
      <c r="A944" s="37"/>
      <c r="B944" s="37"/>
      <c r="C944" s="30"/>
      <c r="D944" s="30"/>
    </row>
    <row r="945" spans="1:4" ht="16">
      <c r="A945" s="37"/>
      <c r="B945" s="37"/>
      <c r="C945" s="30"/>
      <c r="D945" s="30"/>
    </row>
    <row r="946" spans="1:4" ht="16">
      <c r="A946" s="37"/>
      <c r="B946" s="37"/>
      <c r="C946" s="30"/>
      <c r="D946" s="30"/>
    </row>
    <row r="947" spans="1:4" ht="16">
      <c r="A947" s="37"/>
      <c r="B947" s="37"/>
      <c r="C947" s="30"/>
      <c r="D947" s="30"/>
    </row>
    <row r="948" spans="1:4" ht="16">
      <c r="A948" s="37"/>
      <c r="B948" s="37"/>
      <c r="C948" s="30"/>
      <c r="D948" s="30"/>
    </row>
    <row r="949" spans="1:4" ht="16">
      <c r="A949" s="37"/>
      <c r="B949" s="37"/>
      <c r="C949" s="30"/>
      <c r="D949" s="30"/>
    </row>
    <row r="950" spans="1:4" ht="16">
      <c r="A950" s="37"/>
      <c r="B950" s="37"/>
      <c r="C950" s="30"/>
      <c r="D950" s="30"/>
    </row>
    <row r="951" spans="1:4" ht="16">
      <c r="A951" s="37"/>
      <c r="B951" s="37"/>
      <c r="C951" s="30"/>
      <c r="D951" s="30"/>
    </row>
    <row r="952" spans="1:4" ht="16">
      <c r="A952" s="37"/>
      <c r="B952" s="37"/>
      <c r="C952" s="30"/>
      <c r="D952" s="30"/>
    </row>
    <row r="953" spans="1:4" ht="16">
      <c r="A953" s="37"/>
      <c r="B953" s="37"/>
      <c r="C953" s="30"/>
      <c r="D953" s="30"/>
    </row>
    <row r="954" spans="1:4" ht="16">
      <c r="A954" s="37"/>
      <c r="B954" s="37"/>
      <c r="C954" s="30"/>
      <c r="D954" s="30"/>
    </row>
    <row r="955" spans="1:4" ht="16">
      <c r="A955" s="37"/>
      <c r="B955" s="37"/>
      <c r="C955" s="30"/>
      <c r="D955" s="30"/>
    </row>
    <row r="956" spans="1:4" ht="16">
      <c r="A956" s="37"/>
      <c r="B956" s="37"/>
      <c r="C956" s="30"/>
      <c r="D956" s="30"/>
    </row>
    <row r="957" spans="1:4" ht="16">
      <c r="A957" s="37"/>
      <c r="B957" s="37"/>
      <c r="C957" s="30"/>
      <c r="D957" s="30"/>
    </row>
    <row r="958" spans="1:4" ht="16">
      <c r="A958" s="37"/>
      <c r="B958" s="37"/>
      <c r="C958" s="30"/>
      <c r="D958" s="30"/>
    </row>
    <row r="959" spans="1:4" ht="16">
      <c r="A959" s="37"/>
      <c r="B959" s="37"/>
      <c r="C959" s="30"/>
      <c r="D959" s="30"/>
    </row>
    <row r="960" spans="1:4" ht="16">
      <c r="A960" s="37"/>
      <c r="B960" s="37"/>
      <c r="C960" s="30"/>
      <c r="D960" s="30"/>
    </row>
    <row r="961" spans="1:4" ht="16">
      <c r="A961" s="37"/>
      <c r="B961" s="37"/>
      <c r="C961" s="30"/>
      <c r="D961" s="30"/>
    </row>
    <row r="962" spans="1:4" ht="16">
      <c r="A962" s="37"/>
      <c r="B962" s="37"/>
      <c r="C962" s="30"/>
      <c r="D962" s="30"/>
    </row>
    <row r="963" spans="1:4" ht="16">
      <c r="A963" s="37"/>
      <c r="B963" s="37"/>
      <c r="C963" s="30"/>
      <c r="D963" s="30"/>
    </row>
    <row r="964" spans="1:4" ht="16">
      <c r="A964" s="37"/>
      <c r="B964" s="37"/>
      <c r="C964" s="30"/>
      <c r="D964" s="30"/>
    </row>
    <row r="965" spans="1:4" ht="16">
      <c r="A965" s="37"/>
      <c r="B965" s="37"/>
      <c r="C965" s="30"/>
      <c r="D965" s="30"/>
    </row>
    <row r="966" spans="1:4" ht="16">
      <c r="A966" s="37"/>
      <c r="B966" s="37"/>
      <c r="C966" s="30"/>
      <c r="D966" s="30"/>
    </row>
    <row r="967" spans="1:4" ht="16">
      <c r="A967" s="37"/>
      <c r="B967" s="37"/>
      <c r="C967" s="30"/>
      <c r="D967" s="30"/>
    </row>
    <row r="968" spans="1:4" ht="16">
      <c r="A968" s="37"/>
      <c r="B968" s="37"/>
      <c r="C968" s="30"/>
      <c r="D968" s="30"/>
    </row>
    <row r="969" spans="1:4" ht="16">
      <c r="A969" s="37"/>
      <c r="B969" s="37"/>
      <c r="C969" s="30"/>
      <c r="D969" s="30"/>
    </row>
    <row r="970" spans="1:4" ht="16">
      <c r="A970" s="37"/>
      <c r="B970" s="37"/>
      <c r="C970" s="30"/>
      <c r="D970" s="30"/>
    </row>
    <row r="971" spans="1:4" ht="16">
      <c r="A971" s="37"/>
      <c r="B971" s="37"/>
      <c r="C971" s="30"/>
      <c r="D971" s="30"/>
    </row>
    <row r="972" spans="1:4" ht="16">
      <c r="A972" s="37"/>
      <c r="B972" s="37"/>
      <c r="C972" s="30"/>
      <c r="D972" s="30"/>
    </row>
    <row r="973" spans="1:4" ht="16">
      <c r="A973" s="37"/>
      <c r="B973" s="37"/>
      <c r="C973" s="30"/>
      <c r="D973" s="30"/>
    </row>
    <row r="974" spans="1:4" ht="16">
      <c r="A974" s="37"/>
      <c r="B974" s="37"/>
      <c r="C974" s="30"/>
      <c r="D974" s="30"/>
    </row>
    <row r="975" spans="1:4" ht="16">
      <c r="A975" s="37"/>
      <c r="B975" s="37"/>
      <c r="C975" s="30"/>
      <c r="D975" s="30"/>
    </row>
    <row r="976" spans="1:4" ht="16">
      <c r="A976" s="37"/>
      <c r="B976" s="37"/>
      <c r="C976" s="30"/>
      <c r="D976" s="30"/>
    </row>
    <row r="977" spans="1:4" ht="16">
      <c r="A977" s="37"/>
      <c r="B977" s="37"/>
      <c r="C977" s="30"/>
      <c r="D977" s="30"/>
    </row>
    <row r="978" spans="1:4" ht="16">
      <c r="A978" s="37"/>
      <c r="B978" s="37"/>
      <c r="C978" s="30"/>
      <c r="D978" s="30"/>
    </row>
    <row r="979" spans="1:4" ht="16">
      <c r="A979" s="37"/>
      <c r="B979" s="37"/>
      <c r="C979" s="30"/>
      <c r="D979" s="30"/>
    </row>
    <row r="980" spans="1:4" ht="16">
      <c r="A980" s="37"/>
      <c r="B980" s="37"/>
      <c r="C980" s="30"/>
      <c r="D980" s="30"/>
    </row>
    <row r="981" spans="1:4" ht="16">
      <c r="A981" s="37"/>
      <c r="B981" s="37"/>
      <c r="C981" s="30"/>
      <c r="D981" s="30"/>
    </row>
    <row r="982" spans="1:4" ht="16">
      <c r="A982" s="37"/>
      <c r="B982" s="37"/>
      <c r="C982" s="30"/>
      <c r="D982" s="30"/>
    </row>
    <row r="983" spans="1:4" ht="16">
      <c r="A983" s="37"/>
      <c r="B983" s="37"/>
      <c r="C983" s="30"/>
      <c r="D983" s="30"/>
    </row>
    <row r="984" spans="1:4" ht="16">
      <c r="A984" s="37"/>
      <c r="B984" s="37"/>
      <c r="C984" s="30"/>
      <c r="D984" s="30"/>
    </row>
    <row r="985" spans="1:4" ht="16">
      <c r="A985" s="37"/>
      <c r="B985" s="37"/>
      <c r="C985" s="30"/>
      <c r="D985" s="30"/>
    </row>
    <row r="986" spans="1:4" ht="16">
      <c r="A986" s="37"/>
      <c r="B986" s="37"/>
      <c r="C986" s="30"/>
      <c r="D986" s="30"/>
    </row>
    <row r="987" spans="1:4" ht="16">
      <c r="A987" s="37"/>
      <c r="B987" s="37"/>
      <c r="C987" s="30"/>
      <c r="D987" s="30"/>
    </row>
    <row r="988" spans="1:4" ht="16">
      <c r="A988" s="37"/>
      <c r="B988" s="37"/>
      <c r="C988" s="30"/>
      <c r="D988" s="30"/>
    </row>
    <row r="989" spans="1:4" ht="16">
      <c r="A989" s="37"/>
      <c r="B989" s="37"/>
      <c r="C989" s="30"/>
      <c r="D989" s="30"/>
    </row>
    <row r="990" spans="1:4" ht="16">
      <c r="A990" s="37"/>
      <c r="B990" s="37"/>
      <c r="C990" s="30"/>
      <c r="D990" s="30"/>
    </row>
    <row r="991" spans="1:4" ht="16">
      <c r="A991" s="37"/>
      <c r="B991" s="37"/>
      <c r="C991" s="30"/>
      <c r="D991" s="30"/>
    </row>
    <row r="992" spans="1:4" ht="16">
      <c r="A992" s="37"/>
      <c r="B992" s="37"/>
      <c r="C992" s="30"/>
      <c r="D992" s="30"/>
    </row>
    <row r="993" spans="1:4" ht="16">
      <c r="A993" s="37"/>
      <c r="B993" s="37"/>
      <c r="C993" s="30"/>
      <c r="D993" s="30"/>
    </row>
    <row r="994" spans="1:4" ht="16">
      <c r="A994" s="37"/>
      <c r="B994" s="37"/>
      <c r="C994" s="30"/>
      <c r="D994" s="30"/>
    </row>
    <row r="995" spans="1:4" ht="16">
      <c r="A995" s="37"/>
      <c r="B995" s="37"/>
      <c r="C995" s="30"/>
      <c r="D995" s="30"/>
    </row>
    <row r="996" spans="1:4" ht="16">
      <c r="A996" s="37"/>
      <c r="B996" s="37"/>
      <c r="C996" s="30"/>
      <c r="D996" s="30"/>
    </row>
    <row r="997" spans="1:4" ht="16">
      <c r="A997" s="37"/>
      <c r="B997" s="37"/>
      <c r="C997" s="30"/>
      <c r="D997" s="30"/>
    </row>
    <row r="998" spans="1:4" ht="16">
      <c r="A998" s="37"/>
      <c r="B998" s="37"/>
      <c r="C998" s="30"/>
      <c r="D998" s="30"/>
    </row>
    <row r="999" spans="1:4" ht="16">
      <c r="A999" s="37"/>
      <c r="B999" s="37"/>
      <c r="C999" s="30"/>
      <c r="D999" s="30"/>
    </row>
    <row r="1000" spans="1:4" ht="16">
      <c r="A1000" s="37"/>
      <c r="B1000" s="37"/>
      <c r="C1000" s="30"/>
      <c r="D1000" s="30"/>
    </row>
  </sheetData>
  <phoneticPr fontId="10" type="noConversion"/>
  <hyperlinks>
    <hyperlink ref="C21" r:id="rId1" xr:uid="{00000000-0004-0000-0600-000000000000}"/>
  </hyperlinks>
  <pageMargins left="0.7" right="0.7" top="0.75" bottom="0.75" header="0" footer="0"/>
  <pageSetup paperSize="9" orientation="portrait"/>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6"/>
  <sheetViews>
    <sheetView zoomScale="70" zoomScaleNormal="70" workbookViewId="0">
      <selection activeCell="U95" sqref="U95"/>
    </sheetView>
  </sheetViews>
  <sheetFormatPr baseColWidth="10" defaultColWidth="8.7109375" defaultRowHeight="16"/>
  <sheetData>
    <row r="1" spans="1:1">
      <c r="A1" t="s">
        <v>164</v>
      </c>
    </row>
    <row r="2" spans="1:1">
      <c r="A2" s="43" t="s">
        <v>165</v>
      </c>
    </row>
    <row r="3" spans="1:1">
      <c r="A3" s="44"/>
    </row>
    <row r="4" spans="1:1">
      <c r="A4" s="45"/>
    </row>
    <row r="5" spans="1:1">
      <c r="A5" s="44"/>
    </row>
    <row r="6" spans="1:1">
      <c r="A6" t="s">
        <v>164</v>
      </c>
    </row>
  </sheetData>
  <phoneticPr fontId="10"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D6"/>
  <sheetViews>
    <sheetView showGridLines="0" zoomScale="85" zoomScaleNormal="85" workbookViewId="0">
      <selection activeCell="C11" sqref="C11"/>
    </sheetView>
  </sheetViews>
  <sheetFormatPr baseColWidth="10" defaultColWidth="8.7109375" defaultRowHeight="16"/>
  <cols>
    <col min="1" max="1" width="2.85546875" customWidth="1"/>
    <col min="2" max="2" width="31.28515625" customWidth="1"/>
    <col min="3" max="3" width="30.140625" customWidth="1"/>
    <col min="4" max="4" width="23.28515625" customWidth="1"/>
  </cols>
  <sheetData>
    <row r="3" spans="2:4" ht="40.75" customHeight="1">
      <c r="B3" s="49" t="s">
        <v>101</v>
      </c>
      <c r="C3" s="49" t="s">
        <v>166</v>
      </c>
      <c r="D3" s="50" t="s">
        <v>167</v>
      </c>
    </row>
    <row r="4" spans="2:4" ht="42.75" customHeight="1">
      <c r="B4" s="47" t="s">
        <v>168</v>
      </c>
      <c r="C4" s="48" t="s">
        <v>169</v>
      </c>
      <c r="D4" s="48" t="s">
        <v>170</v>
      </c>
    </row>
    <row r="5" spans="2:4" ht="42.75" customHeight="1">
      <c r="B5" s="47" t="s">
        <v>171</v>
      </c>
      <c r="C5" s="47" t="s">
        <v>172</v>
      </c>
      <c r="D5" s="48" t="s">
        <v>173</v>
      </c>
    </row>
    <row r="6" spans="2:4" ht="29.5" customHeight="1">
      <c r="B6" s="47"/>
      <c r="C6" s="47"/>
      <c r="D6" s="65" t="s">
        <v>174</v>
      </c>
    </row>
  </sheetData>
  <phoneticPr fontId="10" type="noConversion"/>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6"/>
  <sheetViews>
    <sheetView topLeftCell="A4" zoomScale="190" zoomScaleNormal="66" workbookViewId="0">
      <selection activeCell="A6" sqref="A6:B6"/>
    </sheetView>
  </sheetViews>
  <sheetFormatPr baseColWidth="10" defaultColWidth="8.7109375" defaultRowHeight="16"/>
  <cols>
    <col min="1" max="1" width="5.28515625" customWidth="1"/>
    <col min="2" max="2" width="98.5703125" customWidth="1"/>
    <col min="3" max="3" width="20" customWidth="1"/>
    <col min="5" max="5" width="27.140625" customWidth="1"/>
  </cols>
  <sheetData>
    <row r="1" spans="1:2" ht="17" thickBot="1">
      <c r="A1" s="43" t="s">
        <v>175</v>
      </c>
    </row>
    <row r="2" spans="1:2">
      <c r="A2" s="4" t="s">
        <v>322</v>
      </c>
      <c r="B2" s="4" t="s">
        <v>0</v>
      </c>
    </row>
    <row r="3" spans="1:2" ht="110" thickBot="1">
      <c r="A3" s="6">
        <v>1</v>
      </c>
      <c r="B3" s="28" t="s">
        <v>409</v>
      </c>
    </row>
    <row r="4" spans="1:2" ht="140" thickBot="1">
      <c r="A4" s="6">
        <v>2</v>
      </c>
      <c r="B4" s="28" t="s">
        <v>410</v>
      </c>
    </row>
    <row r="5" spans="1:2" ht="270" customHeight="1" thickBot="1">
      <c r="A5" s="6">
        <v>3</v>
      </c>
      <c r="B5" s="28" t="s">
        <v>411</v>
      </c>
    </row>
    <row r="6" spans="1:2" ht="65" customHeight="1" thickBot="1">
      <c r="A6" s="184" t="s">
        <v>323</v>
      </c>
      <c r="B6" s="185"/>
    </row>
  </sheetData>
  <mergeCells count="1">
    <mergeCell ref="A6:B6"/>
  </mergeCells>
  <phoneticPr fontId="1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28"/>
  <sheetViews>
    <sheetView zoomScale="115" zoomScaleNormal="115" workbookViewId="0">
      <selection activeCell="A4" sqref="A4"/>
    </sheetView>
  </sheetViews>
  <sheetFormatPr baseColWidth="10" defaultColWidth="9.28515625" defaultRowHeight="18"/>
  <cols>
    <col min="1" max="1" width="108.5703125" style="53" customWidth="1"/>
    <col min="2" max="16384" width="9.28515625" style="51"/>
  </cols>
  <sheetData>
    <row r="2" spans="1:1" ht="19">
      <c r="A2" s="53" t="s">
        <v>176</v>
      </c>
    </row>
    <row r="3" spans="1:1">
      <c r="A3" s="51" t="s">
        <v>177</v>
      </c>
    </row>
    <row r="4" spans="1:1">
      <c r="A4" s="63" t="s">
        <v>178</v>
      </c>
    </row>
    <row r="6" spans="1:1" ht="19">
      <c r="A6" s="54" t="s">
        <v>179</v>
      </c>
    </row>
    <row r="7" spans="1:1" ht="38">
      <c r="A7" s="53" t="s">
        <v>180</v>
      </c>
    </row>
    <row r="9" spans="1:1" ht="19">
      <c r="A9" s="54" t="s">
        <v>181</v>
      </c>
    </row>
    <row r="10" spans="1:1" ht="19">
      <c r="A10" s="53" t="s">
        <v>182</v>
      </c>
    </row>
    <row r="12" spans="1:1" ht="19">
      <c r="A12" s="54" t="s">
        <v>183</v>
      </c>
    </row>
    <row r="13" spans="1:1" ht="19">
      <c r="A13" s="53" t="s">
        <v>184</v>
      </c>
    </row>
    <row r="15" spans="1:1" ht="19">
      <c r="A15" s="54" t="s">
        <v>185</v>
      </c>
    </row>
    <row r="16" spans="1:1" ht="19">
      <c r="A16" s="53" t="s">
        <v>186</v>
      </c>
    </row>
    <row r="17" spans="1:1" ht="19">
      <c r="A17" s="55" t="s">
        <v>336</v>
      </c>
    </row>
    <row r="18" spans="1:1" ht="19">
      <c r="A18" s="53" t="s">
        <v>187</v>
      </c>
    </row>
    <row r="20" spans="1:1" ht="19">
      <c r="A20" s="54" t="s">
        <v>188</v>
      </c>
    </row>
    <row r="21" spans="1:1" ht="19">
      <c r="A21" s="53" t="s">
        <v>189</v>
      </c>
    </row>
    <row r="22" spans="1:1">
      <c r="A22" s="56" t="s">
        <v>190</v>
      </c>
    </row>
    <row r="24" spans="1:1" ht="19">
      <c r="A24" s="53" t="s">
        <v>191</v>
      </c>
    </row>
    <row r="25" spans="1:1">
      <c r="A25" s="56" t="s">
        <v>192</v>
      </c>
    </row>
    <row r="27" spans="1:1" ht="19">
      <c r="A27" s="54" t="s">
        <v>193</v>
      </c>
    </row>
    <row r="28" spans="1:1" ht="38">
      <c r="A28" s="53" t="s">
        <v>194</v>
      </c>
    </row>
  </sheetData>
  <phoneticPr fontId="10" type="noConversion"/>
  <hyperlinks>
    <hyperlink ref="A17" r:id="rId1" display="http://infinitiessoft.com/" xr:uid="{00000000-0004-0000-0A00-000000000000}"/>
    <hyperlink ref="A4" r:id="rId2" xr:uid="{00000000-0004-0000-0A00-000001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B31"/>
  <sheetViews>
    <sheetView showGridLines="0" workbookViewId="0">
      <selection activeCell="E9" sqref="E9"/>
    </sheetView>
  </sheetViews>
  <sheetFormatPr baseColWidth="10" defaultColWidth="8.7109375" defaultRowHeight="18"/>
  <cols>
    <col min="1" max="16384" width="8.7109375" style="51"/>
  </cols>
  <sheetData>
    <row r="2" spans="1:2">
      <c r="A2" s="51" t="s">
        <v>195</v>
      </c>
    </row>
    <row r="4" spans="1:2">
      <c r="A4" s="51" t="s">
        <v>196</v>
      </c>
    </row>
    <row r="5" spans="1:2">
      <c r="A5" s="51" t="s">
        <v>197</v>
      </c>
    </row>
    <row r="8" spans="1:2">
      <c r="A8" s="51" t="s">
        <v>198</v>
      </c>
    </row>
    <row r="9" spans="1:2">
      <c r="A9" s="51">
        <v>1</v>
      </c>
      <c r="B9" s="51" t="s">
        <v>199</v>
      </c>
    </row>
    <row r="10" spans="1:2">
      <c r="B10" s="52" t="s">
        <v>200</v>
      </c>
    </row>
    <row r="11" spans="1:2">
      <c r="A11" s="51">
        <v>2</v>
      </c>
      <c r="B11" s="51" t="s">
        <v>201</v>
      </c>
    </row>
    <row r="12" spans="1:2">
      <c r="B12" s="52" t="s">
        <v>202</v>
      </c>
    </row>
    <row r="13" spans="1:2">
      <c r="A13" s="51">
        <v>3</v>
      </c>
      <c r="B13" s="51" t="s">
        <v>203</v>
      </c>
    </row>
    <row r="14" spans="1:2">
      <c r="B14" s="52" t="s">
        <v>204</v>
      </c>
    </row>
    <row r="15" spans="1:2">
      <c r="A15" s="51">
        <v>4</v>
      </c>
      <c r="B15" s="51" t="s">
        <v>205</v>
      </c>
    </row>
    <row r="16" spans="1:2">
      <c r="B16" s="52" t="s">
        <v>206</v>
      </c>
    </row>
    <row r="17" spans="1:2">
      <c r="A17" s="51">
        <v>5</v>
      </c>
      <c r="B17" s="51" t="s">
        <v>207</v>
      </c>
    </row>
    <row r="18" spans="1:2">
      <c r="B18" s="52" t="s">
        <v>208</v>
      </c>
    </row>
    <row r="19" spans="1:2">
      <c r="A19" s="51">
        <v>6</v>
      </c>
      <c r="B19" s="51" t="s">
        <v>209</v>
      </c>
    </row>
    <row r="20" spans="1:2">
      <c r="B20" s="52" t="s">
        <v>210</v>
      </c>
    </row>
    <row r="21" spans="1:2">
      <c r="A21" s="51">
        <v>7</v>
      </c>
      <c r="B21" s="51" t="s">
        <v>211</v>
      </c>
    </row>
    <row r="22" spans="1:2">
      <c r="B22" s="52" t="s">
        <v>210</v>
      </c>
    </row>
    <row r="24" spans="1:2">
      <c r="A24" s="51" t="s">
        <v>212</v>
      </c>
    </row>
    <row r="25" spans="1:2">
      <c r="A25" s="51">
        <v>1</v>
      </c>
      <c r="B25" s="51" t="s">
        <v>213</v>
      </c>
    </row>
    <row r="26" spans="1:2">
      <c r="A26" s="51">
        <v>2</v>
      </c>
      <c r="B26" s="51" t="s">
        <v>214</v>
      </c>
    </row>
    <row r="27" spans="1:2">
      <c r="A27" s="51">
        <v>3</v>
      </c>
      <c r="B27" s="51" t="s">
        <v>215</v>
      </c>
    </row>
    <row r="28" spans="1:2">
      <c r="A28" s="51">
        <v>4</v>
      </c>
      <c r="B28" s="51" t="s">
        <v>216</v>
      </c>
    </row>
    <row r="29" spans="1:2">
      <c r="A29" s="51">
        <v>5</v>
      </c>
      <c r="B29" s="51" t="s">
        <v>217</v>
      </c>
    </row>
    <row r="30" spans="1:2">
      <c r="A30" s="51">
        <v>6</v>
      </c>
      <c r="B30" s="51" t="s">
        <v>218</v>
      </c>
    </row>
    <row r="31" spans="1:2">
      <c r="A31" s="51">
        <v>7</v>
      </c>
      <c r="B31" s="51" t="s">
        <v>219</v>
      </c>
    </row>
  </sheetData>
  <phoneticPr fontId="10" type="noConversion"/>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2609-3820-4EF8-8B11-80106FC0F1A0}">
  <dimension ref="B1:G19"/>
  <sheetViews>
    <sheetView showGridLines="0" workbookViewId="0">
      <selection activeCell="J13" sqref="J13"/>
    </sheetView>
  </sheetViews>
  <sheetFormatPr baseColWidth="10" defaultColWidth="9.28515625" defaultRowHeight="18"/>
  <cols>
    <col min="1" max="1" width="9.28515625" style="51"/>
    <col min="2" max="2" width="27.7109375" style="51" bestFit="1" customWidth="1"/>
    <col min="3" max="7" width="9.7109375" style="51" customWidth="1"/>
    <col min="8" max="16384" width="9.28515625" style="51"/>
  </cols>
  <sheetData>
    <row r="1" spans="2:7" ht="19" thickBot="1"/>
    <row r="2" spans="2:7">
      <c r="B2" s="186" t="s">
        <v>405</v>
      </c>
      <c r="C2" s="187"/>
      <c r="D2" s="187"/>
      <c r="E2" s="187"/>
      <c r="F2" s="187"/>
      <c r="G2" s="188"/>
    </row>
    <row r="3" spans="2:7">
      <c r="B3" s="83" t="s">
        <v>368</v>
      </c>
      <c r="C3" s="79" t="s">
        <v>363</v>
      </c>
      <c r="D3" s="79" t="s">
        <v>364</v>
      </c>
      <c r="E3" s="79" t="s">
        <v>365</v>
      </c>
      <c r="F3" s="79" t="s">
        <v>366</v>
      </c>
      <c r="G3" s="84" t="s">
        <v>367</v>
      </c>
    </row>
    <row r="4" spans="2:7">
      <c r="B4" s="85" t="s">
        <v>377</v>
      </c>
      <c r="C4" s="80" t="s">
        <v>378</v>
      </c>
      <c r="D4" s="80" t="s">
        <v>379</v>
      </c>
      <c r="E4" s="80" t="s">
        <v>380</v>
      </c>
      <c r="F4" s="80" t="s">
        <v>381</v>
      </c>
      <c r="G4" s="86" t="s">
        <v>382</v>
      </c>
    </row>
    <row r="5" spans="2:7">
      <c r="B5" s="153" t="s">
        <v>708</v>
      </c>
      <c r="C5" s="80" t="s">
        <v>379</v>
      </c>
      <c r="D5" s="80" t="s">
        <v>381</v>
      </c>
      <c r="E5" s="80" t="s">
        <v>383</v>
      </c>
      <c r="F5" s="80" t="s">
        <v>384</v>
      </c>
      <c r="G5" s="86" t="s">
        <v>385</v>
      </c>
    </row>
    <row r="6" spans="2:7">
      <c r="B6" s="85" t="s">
        <v>386</v>
      </c>
      <c r="C6" s="80" t="s">
        <v>380</v>
      </c>
      <c r="D6" s="80" t="s">
        <v>383</v>
      </c>
      <c r="E6" s="80" t="s">
        <v>387</v>
      </c>
      <c r="F6" s="80" t="s">
        <v>388</v>
      </c>
      <c r="G6" s="86" t="s">
        <v>389</v>
      </c>
    </row>
    <row r="7" spans="2:7">
      <c r="B7" s="85" t="s">
        <v>390</v>
      </c>
      <c r="C7" s="80" t="s">
        <v>381</v>
      </c>
      <c r="D7" s="80" t="s">
        <v>384</v>
      </c>
      <c r="E7" s="80" t="s">
        <v>388</v>
      </c>
      <c r="F7" s="80" t="s">
        <v>391</v>
      </c>
      <c r="G7" s="86" t="s">
        <v>392</v>
      </c>
    </row>
    <row r="8" spans="2:7">
      <c r="B8" s="85" t="s">
        <v>393</v>
      </c>
      <c r="C8" s="80" t="s">
        <v>383</v>
      </c>
      <c r="D8" s="80" t="s">
        <v>388</v>
      </c>
      <c r="E8" s="80" t="s">
        <v>394</v>
      </c>
      <c r="F8" s="80" t="s">
        <v>395</v>
      </c>
      <c r="G8" s="86" t="s">
        <v>396</v>
      </c>
    </row>
    <row r="9" spans="2:7" ht="19" thickBot="1">
      <c r="B9" s="87" t="s">
        <v>397</v>
      </c>
      <c r="C9" s="88" t="s">
        <v>385</v>
      </c>
      <c r="D9" s="88" t="s">
        <v>392</v>
      </c>
      <c r="E9" s="88" t="s">
        <v>396</v>
      </c>
      <c r="F9" s="88" t="s">
        <v>398</v>
      </c>
      <c r="G9" s="89" t="s">
        <v>399</v>
      </c>
    </row>
    <row r="11" spans="2:7" ht="19" thickBot="1"/>
    <row r="12" spans="2:7">
      <c r="B12" s="189" t="s">
        <v>406</v>
      </c>
      <c r="C12" s="190"/>
      <c r="D12" s="190"/>
      <c r="E12" s="190"/>
      <c r="F12" s="190"/>
      <c r="G12" s="191"/>
    </row>
    <row r="13" spans="2:7" ht="19">
      <c r="B13" s="90" t="s">
        <v>374</v>
      </c>
      <c r="C13" s="81" t="s">
        <v>400</v>
      </c>
      <c r="D13" s="81" t="s">
        <v>401</v>
      </c>
      <c r="E13" s="81" t="s">
        <v>402</v>
      </c>
      <c r="F13" s="81" t="s">
        <v>403</v>
      </c>
      <c r="G13" s="91" t="s">
        <v>404</v>
      </c>
    </row>
    <row r="14" spans="2:7" ht="19">
      <c r="B14" s="92" t="s">
        <v>369</v>
      </c>
      <c r="C14" s="82">
        <v>20000</v>
      </c>
      <c r="D14" s="82">
        <v>40000</v>
      </c>
      <c r="E14" s="82">
        <v>60000</v>
      </c>
      <c r="F14" s="82">
        <v>80000</v>
      </c>
      <c r="G14" s="93">
        <v>100000</v>
      </c>
    </row>
    <row r="15" spans="2:7" ht="19">
      <c r="B15" s="154" t="s">
        <v>709</v>
      </c>
      <c r="C15" s="82">
        <v>40000</v>
      </c>
      <c r="D15" s="82">
        <v>80000</v>
      </c>
      <c r="E15" s="82">
        <v>120000</v>
      </c>
      <c r="F15" s="82">
        <v>160000</v>
      </c>
      <c r="G15" s="93">
        <v>200000</v>
      </c>
    </row>
    <row r="16" spans="2:7" ht="19">
      <c r="B16" s="92" t="s">
        <v>370</v>
      </c>
      <c r="C16" s="82">
        <v>60000</v>
      </c>
      <c r="D16" s="82">
        <v>120000</v>
      </c>
      <c r="E16" s="82">
        <v>180000</v>
      </c>
      <c r="F16" s="82">
        <v>240000</v>
      </c>
      <c r="G16" s="93">
        <v>300000</v>
      </c>
    </row>
    <row r="17" spans="2:7" ht="19">
      <c r="B17" s="92" t="s">
        <v>371</v>
      </c>
      <c r="C17" s="82">
        <v>80000</v>
      </c>
      <c r="D17" s="82">
        <v>160000</v>
      </c>
      <c r="E17" s="82">
        <v>240000</v>
      </c>
      <c r="F17" s="82">
        <v>320000</v>
      </c>
      <c r="G17" s="93">
        <v>400000</v>
      </c>
    </row>
    <row r="18" spans="2:7" ht="19">
      <c r="B18" s="92" t="s">
        <v>372</v>
      </c>
      <c r="C18" s="82">
        <v>120000</v>
      </c>
      <c r="D18" s="82">
        <v>240000</v>
      </c>
      <c r="E18" s="82">
        <v>360000</v>
      </c>
      <c r="F18" s="82">
        <v>480000</v>
      </c>
      <c r="G18" s="93">
        <v>600000</v>
      </c>
    </row>
    <row r="19" spans="2:7" ht="20" thickBot="1">
      <c r="B19" s="94" t="s">
        <v>373</v>
      </c>
      <c r="C19" s="95">
        <v>200000</v>
      </c>
      <c r="D19" s="95">
        <v>400000</v>
      </c>
      <c r="E19" s="95">
        <v>600000</v>
      </c>
      <c r="F19" s="95">
        <v>800000</v>
      </c>
      <c r="G19" s="96">
        <v>1000000</v>
      </c>
    </row>
  </sheetData>
  <mergeCells count="2">
    <mergeCell ref="B2:G2"/>
    <mergeCell ref="B12:G12"/>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18</vt:i4>
      </vt:variant>
    </vt:vector>
  </HeadingPairs>
  <TitlesOfParts>
    <vt:vector size="18" baseType="lpstr">
      <vt:lpstr>AI-Stack Commercial Perpetual</vt:lpstr>
      <vt:lpstr>AI-Stack Commercial Subscriptio</vt:lpstr>
      <vt:lpstr>DGX-1</vt:lpstr>
      <vt:lpstr>AI-Stack Commercial Service</vt:lpstr>
      <vt:lpstr>AI-Stack Education Perpetual</vt:lpstr>
      <vt:lpstr>AI-Stack Education Subscription</vt:lpstr>
      <vt:lpstr>AI-Stack Education Service</vt:lpstr>
      <vt:lpstr>CloudFusion Commercial</vt:lpstr>
      <vt:lpstr>CloudFusion Commercial Service</vt:lpstr>
      <vt:lpstr>CloudFusion Education</vt:lpstr>
      <vt:lpstr>CloudFusion Education Service</vt:lpstr>
      <vt:lpstr>Terms &amp; Conditions</vt:lpstr>
      <vt:lpstr>AI-Stack版本功能表</vt:lpstr>
      <vt:lpstr>CloudFusion版本功能表</vt:lpstr>
      <vt:lpstr>AI-Stack GPU Tier對應表</vt:lpstr>
      <vt:lpstr>產品保固及過保說明</vt:lpstr>
      <vt:lpstr>報價範例說明</vt:lpstr>
      <vt:lpstr>SUMS各年限價值對照表</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 Lin</dc:creator>
  <cp:keywords/>
  <dc:description/>
  <cp:lastModifiedBy>lihsi chen</cp:lastModifiedBy>
  <cp:revision/>
  <dcterms:created xsi:type="dcterms:W3CDTF">2020-02-11T10:55:37Z</dcterms:created>
  <dcterms:modified xsi:type="dcterms:W3CDTF">2025-05-13T06:15:00Z</dcterms:modified>
  <cp:category/>
  <cp:contentStatus/>
</cp:coreProperties>
</file>